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slicers/slicer1.xml" ContentType="application/vnd.ms-excel.slicer+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C:\Users\USEER\Desktop\VEPH\PROJECTS\"/>
    </mc:Choice>
  </mc:AlternateContent>
  <xr:revisionPtr revIDLastSave="0" documentId="13_ncr:1_{3088F64B-F4C5-430B-B439-5BC2ABF8F07B}" xr6:coauthVersionLast="47" xr6:coauthVersionMax="47" xr10:uidLastSave="{00000000-0000-0000-0000-000000000000}"/>
  <bookViews>
    <workbookView xWindow="-120" yWindow="-120" windowWidth="20730" windowHeight="11040" tabRatio="818" firstSheet="12" activeTab="17" xr2:uid="{00000000-000D-0000-FFFF-FFFF00000000}"/>
  </bookViews>
  <sheets>
    <sheet name="Task" sheetId="15" r:id="rId1"/>
    <sheet name="Raw Data" sheetId="17" r:id="rId2"/>
    <sheet name="Pre-Analysis Board" sheetId="18" r:id="rId3"/>
    <sheet name="Sheet2" sheetId="36" r:id="rId4"/>
    <sheet name="Top 10 Customers" sheetId="20" r:id="rId5"/>
    <sheet name="Top 10 Customers (2)" sheetId="37" r:id="rId6"/>
    <sheet name="Sales by Region" sheetId="23" r:id="rId7"/>
    <sheet name="Sales Performance by Rep" sheetId="22" r:id="rId8"/>
    <sheet name="Sales by product category" sheetId="24" r:id="rId9"/>
    <sheet name="Sales Trend report" sheetId="25" r:id="rId10"/>
    <sheet name="Transaction by Amount" sheetId="26" r:id="rId11"/>
    <sheet name="Performance by States" sheetId="31" r:id="rId12"/>
    <sheet name="Top 6 Ship Cities" sheetId="29" r:id="rId13"/>
    <sheet name="Top 5 Cities by Revenue" sheetId="28" r:id="rId14"/>
    <sheet name="In-Analysis Board" sheetId="19" r:id="rId15"/>
    <sheet name="Dashboard" sheetId="35" r:id="rId16"/>
    <sheet name="Post-Analysis Recommendations" sheetId="33" r:id="rId17"/>
    <sheet name="Post-Analysis Observations" sheetId="34" r:id="rId18"/>
  </sheets>
  <definedNames>
    <definedName name="_xlnm._FilterDatabase" localSheetId="1" hidden="1">'Raw Data'!$A$1:$Z$370</definedName>
    <definedName name="_xlchart.v5.0" hidden="1">'Performance by States'!$D$3</definedName>
    <definedName name="_xlchart.v5.1" hidden="1">'Performance by States'!$D$4:$D$15</definedName>
    <definedName name="_xlchart.v5.2" hidden="1">'Performance by States'!$E$3</definedName>
    <definedName name="_xlchart.v5.3" hidden="1">'Performance by States'!$E$4:$E$15</definedName>
    <definedName name="_xlchart.v5.4" hidden="1">'Performance by States'!$D$3</definedName>
    <definedName name="_xlchart.v5.5" hidden="1">'Performance by States'!$D$4:$D$15</definedName>
    <definedName name="_xlchart.v5.6" hidden="1">'Performance by States'!$E$3</definedName>
    <definedName name="_xlchart.v5.7" hidden="1">'Performance by States'!$E$4:$E$15</definedName>
    <definedName name="Slicer_Region">#N/A</definedName>
  </definedNames>
  <calcPr calcId="162913"/>
  <pivotCaches>
    <pivotCache cacheId="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<sst xmlns="http://schemas.openxmlformats.org/spreadsheetml/2006/main" count="6422" uniqueCount="189">
  <si>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</si>
  <si>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</si>
  <si>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</si>
  <si>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</si>
  <si>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</si>
  <si>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</si>
  <si>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</si>
  <si>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</si>
  <si>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</si>
  <si>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</si>
  <si>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</si>
  <si>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</si>
  <si>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</si>
  <si>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</si>
  <si>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</si>
  <si>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</si>
  <si>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</si>
  <si>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</si>
  <si>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</si>
  <si>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</si>
  <si>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</si>
  <si>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</si>
  <si>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</si>
  <si>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</si>
  <si>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</si>
  <si>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</si>
  <si>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</si>
  <si>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</si>
  <si>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</si>
  <si>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</si>
  <si>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</si>
  <si>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</si>
  <si>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</si>
  <si>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</si>
  <si>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</si>
  <si>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</si>
  <si>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</si>
  <si>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</si>
  <si>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</si>
  <si>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</si>
  <si>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</si>
  <si>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</si>
  <si>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</si>
  <si>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</si>
  <si>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</si>
  <si>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</si>
  <si>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</si>
  <si>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</si>
  <si>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</si>
  <si>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</si>
  <si>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</si>
  <si>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</si>
  <si>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</si>
  <si>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</si>
  <si>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</si>
  <si>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</si>
  <si>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</si>
  <si>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</si>
  <si>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</si>
  <si>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</si>
  <si>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</si>
  <si>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</si>
  <si>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</si>
  <si>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</si>
  <si>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</si>
  <si>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</si>
  <si>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</si>
  <si>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</si>
  <si>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</si>
  <si>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</si>
  <si>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</si>
  <si>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</si>
  <si>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</si>
  <si>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</si>
  <si>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</si>
  <si>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</si>
  <si>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</si>
  <si>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</si>
  <si>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</si>
  <si>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</si>
  <si>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</si>
  <si>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</si>
  <si>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</si>
  <si>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</si>
  <si>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</si>
  <si>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</si>
  <si>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</si>
  <si>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</si>
  <si>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</si>
  <si>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</si>
  <si>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</si>
  <si>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</si>
  <si>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</si>
  <si>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</si>
  <si>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</si>
  <si>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</si>
  <si>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</si>
  <si>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</si>
  <si>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</si>
  <si>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</si>
  <si>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</si>
  <si>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</si>
  <si>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</si>
  <si>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</si>
  <si>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</si>
  <si>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</si>
  <si>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</si>
  <si>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</si>
  <si>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</si>
  <si>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</si>
  <si>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</si>
  <si>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</si>
  <si>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</si>
  <si>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</si>
  <si>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</si>
  <si>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</si>
  <si>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</si>
  <si>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</si>
  <si>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</si>
  <si>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</si>
  <si>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</si>
  <si>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</si>
  <si>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</si>
  <si>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</si>
  <si>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</si>
  <si>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</si>
  <si>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</si>
  <si>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</si>
  <si>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</si>
  <si>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</si>
  <si>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</si>
  <si>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</si>
  <si>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</si>
  <si>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</si>
  <si>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</si>
  <si>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</si>
  <si>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</si>
  <si>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</si>
  <si>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</si>
  <si>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</si>
  <si>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</si>
  <si>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</si>
  <si>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</si>
  <si>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</si>
  <si>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</si>
  <si>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</si>
  <si>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</si>
  <si>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</si>
  <si>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</si>
  <si>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</si>
  <si>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</si>
  <si>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</si>
  <si>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</si>
  <si>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</si>
  <si>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</si>
  <si>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</si>
  <si>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</si>
  <si>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</si>
  <si>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</si>
  <si>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</si>
  <si>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</si>
  <si>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</si>
  <si>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</si>
  <si>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</si>
  <si>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</si>
  <si>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</si>
  <si>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</si>
  <si>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</si>
  <si>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</si>
  <si>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</si>
  <si>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</si>
  <si>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</si>
  <si>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</si>
  <si>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</si>
  <si>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
  </si>
  <si>
    <t>Oct</t>
  </si>
  <si>
    <t>Nov</t>
  </si>
  <si>
    <t>Dec</t>
  </si>
  <si>
    <t>0-1000</t>
  </si>
  <si>
    <t>1000-2000</t>
  </si>
  <si>
    <t>2000-3000</t>
  </si>
  <si>
    <t>3000-4000</t>
  </si>
  <si>
    <t>4000-5000</t>
  </si>
  <si>
    <t>Count of Revenue</t>
  </si>
  <si>
    <t>Performance by States</t>
  </si>
  <si>
    <t>6000-7000</t>
  </si>
  <si>
    <t>7000-8000</t>
  </si>
  <si>
    <t>States</t>
  </si>
  <si>
    <t>Revnue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</si>
</sst>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_(&quot;$&quot;* \(#,##0.00\);_(&quot;$&quot;* &quot;-&quot;??_);_(@_)"/>
    <numFmt numFmtId="165" formatCode="mm/dd/yy;@"/>
    <numFmt numFmtId="166" formatCode="&quot;$&quot;#,##0.00"/>
    <numFmt numFmtId="167" formatCode="&quot;$&quot;#,##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6"/>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4" fillId="3" borderId="0" xfId="0" applyFont="1" applyFill="1"/>
    <xf numFmtId="0" fontId="4" fillId="4" borderId="1" xfId="0" applyFont="1" applyFill="1" applyBorder="1"/>
    <xf numFmtId="0" fontId="3" fillId="0" borderId="0" xfId="0" applyFont="1" applyAlignment="1">
      <alignment vertical="center" wrapText="1"/>
    </xf>
    <xf numFmtId="0" fontId="0" fillId="0" borderId="0" xfId="0" pivotButton="1"/>
    <xf numFmtId="0" fontId="0" fillId="0" borderId="0" xfId="0" applyAlignment="1">
      <alignment horizontal="left"/>
    </xf>
    <xf numFmtId="167" fontId="0" fillId="0" borderId="0" xfId="0" applyNumberFormat="1"/>
    <xf numFmtId="166" fontId="0" fillId="0" borderId="0" xfId="0" applyNumberFormat="1" applyAlignment="1">
      <alignment horizontal="left"/>
    </xf>
    <xf numFmtId="0" fontId="0" fillId="0" borderId="0" xfId="0" applyNumberFormat="1"/>
    <xf numFmtId="164" fontId="0" fillId="0" borderId="0" xfId="0" applyNumberFormat="1"/>
    <xf numFmtId="0" fontId="0" fillId="5" borderId="0" xfId="0" applyFill="1"/>
    <xf numFmtId="0" fontId="5" fillId="5" borderId="0" xfId="0" applyFont="1" applyFill="1"/>
    <xf numFmtId="0" fontId="0" fillId="2" borderId="0" xfId="0" applyFill="1"/>
    <xf numFmtId="14" fontId="0" fillId="0" borderId="0" xfId="0" applyNumberFormat="1"/>
    <xf numFmtId="10" fontId="0" fillId="0" borderId="0" xfId="0" applyNumberFormat="1"/>
  </cellXfs>
  <cellStyles count="2">
    <cellStyle name="Currency" xfId="1" builtinId="4"/>
    <cellStyle name="Normal" xfId="0" builtinId="0"/>
  </cellStyles>
  <dxfs count="47">
    <dxf>
      <numFmt numFmtId="166" formatCode="&quot;$&quot;#,##0.00"/>
    </dxf>
    <dxf>
      <numFmt numFmtId="0" formatCode="General"/>
    </dxf>
    <dxf>
      <numFmt numFmtId="167" formatCode="&quot;$&quot;#,##0"/>
    </dxf>
    <dxf>
      <numFmt numFmtId="167" formatCode="&quot;$&quot;#,##0"/>
    </dxf>
    <dxf>
      <numFmt numFmtId="167" formatCode="&quot;$&quot;#,##0"/>
    </dxf>
    <dxf>
      <numFmt numFmtId="164" formatCode="_(&quot;$&quot;* #,##0.00_);_(&quot;$&quot;* \(#,##0.00\);_(&quot;$&quot;* &quot;-&quot;??_);_(@_)"/>
    </dxf>
    <dxf>
      <numFmt numFmtId="0" formatCode="General"/>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numFmt numFmtId="0" formatCode="General"/>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4" formatCode="0.0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4" formatCode="0.00%"/>
    </dxf>
    <dxf>
      <numFmt numFmtId="167" formatCode="&quot;$&quot;#,##0"/>
    </dxf>
    <dxf>
      <numFmt numFmtId="167" formatCode="&quot;$&quot;#,##0"/>
    </dxf>
    <dxf>
      <numFmt numFmtId="167" formatCode="&quot;$&quot;#,##0"/>
    </dxf>
    <dxf>
      <numFmt numFmtId="14" formatCode="0.00%"/>
    </dxf>
    <dxf>
      <numFmt numFmtId="167" formatCode="&quot;$&quot;#,##0"/>
    </dxf>
    <dxf>
      <numFmt numFmtId="167" formatCode="&quot;$&quot;#,##0"/>
    </dxf>
    <dxf>
      <numFmt numFmtId="167" formatCode="&quot;$&quot;#,##0"/>
    </dxf>
    <dxf>
      <numFmt numFmtId="19" formatCode="dd/mm/yyyy"/>
    </dxf>
    <dxf>
      <numFmt numFmtId="19" formatCode="dd/mm/yyyy"/>
    </dxf>
    <dxf>
      <font>
        <b/>
        <color theme="1"/>
      </font>
      <border>
        <bottom style="thin">
          <color theme="8"/>
        </bottom>
        <vertical/>
        <horizontal/>
      </border>
    </dxf>
    <dxf>
      <font>
        <color theme="1"/>
      </font>
      <fill>
        <patternFill>
          <bgColor theme="8" tint="-0.499984740745262"/>
        </patternFill>
      </fill>
      <border diagonalUp="0" diagonalDown="0">
        <left/>
        <right/>
        <top/>
        <bottom/>
        <vertical/>
        <horizontal/>
      </border>
    </dxf>
    <dxf>
      <font>
        <b/>
        <color theme="1"/>
      </font>
      <border>
        <bottom style="thin">
          <color theme="8"/>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Burgarking Sales Dashboard" pivot="0" table="0" count="10" xr9:uid="{DACAD00D-F33E-42AD-ACD4-3F8D4DB2973E}">
      <tableStyleElement type="wholeTable" dxfId="46"/>
      <tableStyleElement type="headerRow" dxfId="45"/>
    </tableStyle>
    <tableStyle name="flutterco project" pivot="0" table="0" count="10" xr9:uid="{4B1301BF-444A-40AF-BE71-A5739899EA5A}">
      <tableStyleElement type="wholeTable" dxfId="44"/>
      <tableStyleElement type="headerRow" dxfId="43"/>
    </tableStyle>
    <tableStyle name="SlicerStyleLight5 2" pivot="0" table="0" count="10" xr9:uid="{21F950C5-C02C-43DA-8C08-C37948885E85}">
      <tableStyleElement type="wholeTable" dxfId="42"/>
      <tableStyleElement type="headerRow" dxfId="41"/>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urgarking Sales Dashboard">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flutterco projec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17/10/relationships/person" Target="persons/pers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30" Type="http://schemas.microsoft.com/office/2017/10/relationships/person" Target="persons/person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10 Customers!PivotTable1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Top 10 Custpmers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5-A3F6-4B7D-ADF4-7B1B89FE85E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7-A3F6-4B7D-ADF4-7B1B89FE85E4}"/>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A-A3F6-4B7D-ADF4-7B1B89FE85E4}"/>
              </c:ext>
            </c:extLst>
          </c:dPt>
          <c:dPt>
            <c:idx val="3"/>
            <c:invertIfNegative val="0"/>
            <c:bubble3D val="0"/>
            <c:extLst>
              <c:ext xmlns:c16="http://schemas.microsoft.com/office/drawing/2014/chart" uri="{C3380CC4-5D6E-409C-BE32-E72D297353CC}">
                <c16:uniqueId val="{0000000C-A3F6-4B7D-ADF4-7B1B89FE85E4}"/>
              </c:ext>
            </c:extLst>
          </c:dPt>
          <c:dPt>
            <c:idx val="4"/>
            <c:invertIfNegative val="0"/>
            <c:bubble3D val="0"/>
            <c:extLst>
              <c:ext xmlns:c16="http://schemas.microsoft.com/office/drawing/2014/chart" uri="{C3380CC4-5D6E-409C-BE32-E72D297353CC}">
                <c16:uniqueId val="{0000000F-A3F6-4B7D-ADF4-7B1B89FE85E4}"/>
              </c:ext>
            </c:extLst>
          </c:dPt>
          <c:dPt>
            <c:idx val="5"/>
            <c:invertIfNegative val="0"/>
            <c:bubble3D val="0"/>
            <c:extLst>
              <c:ext xmlns:c16="http://schemas.microsoft.com/office/drawing/2014/chart" uri="{C3380CC4-5D6E-409C-BE32-E72D297353CC}">
                <c16:uniqueId val="{00000011-A3F6-4B7D-ADF4-7B1B89FE85E4}"/>
              </c:ext>
            </c:extLst>
          </c:dPt>
          <c:dPt>
            <c:idx val="6"/>
            <c:invertIfNegative val="0"/>
            <c:bubble3D val="0"/>
            <c:extLst>
              <c:ext xmlns:c16="http://schemas.microsoft.com/office/drawing/2014/chart" uri="{C3380CC4-5D6E-409C-BE32-E72D297353CC}">
                <c16:uniqueId val="{00000017-A3F6-4B7D-ADF4-7B1B89FE85E4}"/>
              </c:ext>
            </c:extLst>
          </c:dPt>
          <c:dPt>
            <c:idx val="7"/>
            <c:invertIfNegative val="0"/>
            <c:bubble3D val="0"/>
            <c:extLst>
              <c:ext xmlns:c16="http://schemas.microsoft.com/office/drawing/2014/chart" uri="{C3380CC4-5D6E-409C-BE32-E72D297353CC}">
                <c16:uniqueId val="{00000019-A3F6-4B7D-ADF4-7B1B89FE85E4}"/>
              </c:ext>
            </c:extLst>
          </c:dPt>
          <c:dPt>
            <c:idx val="8"/>
            <c:invertIfNegative val="0"/>
            <c:bubble3D val="0"/>
            <c:extLst>
              <c:ext xmlns:c16="http://schemas.microsoft.com/office/drawing/2014/chart" uri="{C3380CC4-5D6E-409C-BE32-E72D297353CC}">
                <c16:uniqueId val="{0000001B-A3F6-4B7D-ADF4-7B1B89FE85E4}"/>
              </c:ext>
            </c:extLst>
          </c:dPt>
          <c:dPt>
            <c:idx val="9"/>
            <c:invertIfNegative val="0"/>
            <c:bubble3D val="0"/>
            <c:extLst>
              <c:ext xmlns:c16="http://schemas.microsoft.com/office/drawing/2014/chart" uri="{C3380CC4-5D6E-409C-BE32-E72D297353CC}">
                <c16:uniqueId val="{0000001D-A3F6-4B7D-ADF4-7B1B89FE85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0.17953859938913502</c:v>
                </c:pt>
                <c:pt idx="1">
                  <c:v>0.13418085362031359</c:v>
                </c:pt>
                <c:pt idx="2">
                  <c:v>0.11682215516552065</c:v>
                </c:pt>
                <c:pt idx="3">
                  <c:v>0.10002561305641586</c:v>
                </c:pt>
                <c:pt idx="4">
                  <c:v>9.8454167594908368E-2</c:v>
                </c:pt>
                <c:pt idx="5">
                  <c:v>8.6937405367453285E-2</c:v>
                </c:pt>
                <c:pt idx="6">
                  <c:v>7.7857411174219654E-2</c:v>
                </c:pt>
                <c:pt idx="7">
                  <c:v>7.5386007788250595E-2</c:v>
                </c:pt>
                <c:pt idx="8">
                  <c:v>7.2171360754554659E-2</c:v>
                </c:pt>
                <c:pt idx="9">
                  <c:v>5.862642608922837E-2</c:v>
                </c:pt>
              </c:numCache>
            </c:numRef>
          </c:val>
          <c:extLst>
            <c:ext xmlns:c16="http://schemas.microsoft.com/office/drawing/2014/chart" uri="{C3380CC4-5D6E-409C-BE32-E72D297353CC}">
              <c16:uniqueId val="{00000000-A3F6-4B7D-ADF4-7B1B89FE85E4}"/>
            </c:ext>
          </c:extLst>
        </c:ser>
        <c:dLbls>
          <c:dLblPos val="outEnd"/>
          <c:showLegendKey val="0"/>
          <c:showVal val="1"/>
          <c:showCatName val="0"/>
          <c:showSerName val="0"/>
          <c:showPercent val="0"/>
          <c:showBubbleSize val="0"/>
        </c:dLbls>
        <c:gapWidth val="22"/>
        <c:axId val="101660255"/>
        <c:axId val="101657343"/>
      </c:barChart>
      <c:catAx>
        <c:axId val="101660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7343"/>
        <c:crosses val="autoZero"/>
        <c:auto val="1"/>
        <c:lblAlgn val="ctr"/>
        <c:lblOffset val="100"/>
        <c:noMultiLvlLbl val="0"/>
      </c:catAx>
      <c:valAx>
        <c:axId val="101657343"/>
        <c:scaling>
          <c:orientation val="minMax"/>
        </c:scaling>
        <c:delete val="1"/>
        <c:axPos val="t"/>
        <c:numFmt formatCode="0.00%" sourceLinked="1"/>
        <c:majorTickMark val="none"/>
        <c:minorTickMark val="none"/>
        <c:tickLblPos val="nextTo"/>
        <c:crossAx val="10166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10 Customers!PivotTable1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Lst>
        </c:dLbl>
      </c:pivotFmt>
      <c:pivotFmt>
        <c:idx val="16"/>
        <c:spPr>
          <a:solidFill>
            <a:schemeClr val="accent5">
              <a:lumMod val="60000"/>
              <a:lumOff val="40000"/>
            </a:schemeClr>
          </a:solidFill>
          <a:ln>
            <a:noFill/>
          </a:ln>
          <a:effectLst/>
        </c:spPr>
        <c:dLbl>
          <c:idx val="0"/>
          <c:layout>
            <c:manualLayout>
              <c:x val="-0.13799446022869272"/>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20000"/>
              <a:lumOff val="80000"/>
            </a:schemeClr>
          </a:solidFill>
          <a:ln>
            <a:noFill/>
          </a:ln>
          <a:effectLst/>
        </c:spPr>
        <c:dLbl>
          <c:idx val="0"/>
          <c:layout>
            <c:manualLayout>
              <c:x val="-0.10487578977380646"/>
              <c:y val="-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s>
    <c:plotArea>
      <c:layout/>
      <c:doughnutChart>
        <c:varyColors val="1"/>
        <c:ser>
          <c:idx val="0"/>
          <c:order val="0"/>
          <c:tx>
            <c:strRef>
              <c:f>'Top 10 Customers'!$B$3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5-A3F6-4B7D-ADF4-7B1B89FE85E4}"/>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7-A3F6-4B7D-ADF4-7B1B89FE85E4}"/>
              </c:ext>
            </c:extLst>
          </c:dPt>
          <c:dPt>
            <c:idx val="2"/>
            <c:bubble3D val="0"/>
            <c:spPr>
              <a:solidFill>
                <a:schemeClr val="accent5">
                  <a:lumMod val="20000"/>
                  <a:lumOff val="80000"/>
                </a:schemeClr>
              </a:solidFill>
              <a:ln>
                <a:noFill/>
              </a:ln>
              <a:effectLst/>
            </c:spPr>
            <c:extLst>
              <c:ext xmlns:c16="http://schemas.microsoft.com/office/drawing/2014/chart" uri="{C3380CC4-5D6E-409C-BE32-E72D297353CC}">
                <c16:uniqueId val="{0000000A-A3F6-4B7D-ADF4-7B1B89FE85E4}"/>
              </c:ext>
            </c:extLst>
          </c:dPt>
          <c:dPt>
            <c:idx val="3"/>
            <c:bubble3D val="0"/>
            <c:spPr>
              <a:solidFill>
                <a:schemeClr val="accent4"/>
              </a:solidFill>
              <a:ln>
                <a:noFill/>
              </a:ln>
              <a:effectLst/>
            </c:spPr>
            <c:extLst>
              <c:ext xmlns:c16="http://schemas.microsoft.com/office/drawing/2014/chart" uri="{C3380CC4-5D6E-409C-BE32-E72D297353CC}">
                <c16:uniqueId val="{0000000C-A3F6-4B7D-ADF4-7B1B89FE85E4}"/>
              </c:ext>
            </c:extLst>
          </c:dPt>
          <c:dPt>
            <c:idx val="4"/>
            <c:bubble3D val="0"/>
            <c:spPr>
              <a:solidFill>
                <a:schemeClr val="accent5"/>
              </a:solidFill>
              <a:ln>
                <a:noFill/>
              </a:ln>
              <a:effectLst/>
            </c:spPr>
            <c:extLst>
              <c:ext xmlns:c16="http://schemas.microsoft.com/office/drawing/2014/chart" uri="{C3380CC4-5D6E-409C-BE32-E72D297353CC}">
                <c16:uniqueId val="{0000000F-A3F6-4B7D-ADF4-7B1B89FE85E4}"/>
              </c:ext>
            </c:extLst>
          </c:dPt>
          <c:dPt>
            <c:idx val="5"/>
            <c:bubble3D val="0"/>
            <c:spPr>
              <a:solidFill>
                <a:schemeClr val="accent6"/>
              </a:solidFill>
              <a:ln>
                <a:noFill/>
              </a:ln>
              <a:effectLst/>
            </c:spPr>
            <c:extLst>
              <c:ext xmlns:c16="http://schemas.microsoft.com/office/drawing/2014/chart" uri="{C3380CC4-5D6E-409C-BE32-E72D297353CC}">
                <c16:uniqueId val="{00000011-A3F6-4B7D-ADF4-7B1B89FE85E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7-A3F6-4B7D-ADF4-7B1B89FE85E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19-A3F6-4B7D-ADF4-7B1B89FE85E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B-A3F6-4B7D-ADF4-7B1B89FE85E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D-A3F6-4B7D-ADF4-7B1B89FE85E4}"/>
              </c:ext>
            </c:extLst>
          </c:dPt>
          <c:dLbls>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 xmlns:c16="http://schemas.microsoft.com/office/drawing/2014/chart" uri="{C3380CC4-5D6E-409C-BE32-E72D297353CC}">
                  <c16:uniqueId val="{00000005-A3F6-4B7D-ADF4-7B1B89FE85E4}"/>
                </c:ext>
              </c:extLst>
            </c:dLbl>
            <c:dLbl>
              <c:idx val="1"/>
              <c:layout>
                <c:manualLayout>
                  <c:x val="-0.13799446022869272"/>
                  <c:y val="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F6-4B7D-ADF4-7B1B89FE85E4}"/>
                </c:ext>
              </c:extLst>
            </c:dLbl>
            <c:dLbl>
              <c:idx val="2"/>
              <c:layout>
                <c:manualLayout>
                  <c:x val="-0.10487578977380646"/>
                  <c:y val="-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F6-4B7D-ADF4-7B1B89FE85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0.17953859938913502</c:v>
                </c:pt>
                <c:pt idx="1">
                  <c:v>0.13418085362031359</c:v>
                </c:pt>
                <c:pt idx="2">
                  <c:v>0.11682215516552065</c:v>
                </c:pt>
                <c:pt idx="3">
                  <c:v>0.10002561305641586</c:v>
                </c:pt>
                <c:pt idx="4">
                  <c:v>9.8454167594908368E-2</c:v>
                </c:pt>
                <c:pt idx="5">
                  <c:v>8.6937405367453285E-2</c:v>
                </c:pt>
                <c:pt idx="6">
                  <c:v>7.7857411174219654E-2</c:v>
                </c:pt>
                <c:pt idx="7">
                  <c:v>7.5386007788250595E-2</c:v>
                </c:pt>
                <c:pt idx="8">
                  <c:v>7.2171360754554659E-2</c:v>
                </c:pt>
                <c:pt idx="9">
                  <c:v>5.862642608922837E-2</c:v>
                </c:pt>
              </c:numCache>
            </c:numRef>
          </c:val>
          <c:extLst>
            <c:ext xmlns:c16="http://schemas.microsoft.com/office/drawing/2014/chart" uri="{C3380CC4-5D6E-409C-BE32-E72D297353CC}">
              <c16:uniqueId val="{00000000-A3F6-4B7D-ADF4-7B1B89FE85E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10 Customers!PivotTable1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Top 10 Custpmers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75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5-A3F6-4B7D-ADF4-7B1B89FE85E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7-A3F6-4B7D-ADF4-7B1B89FE85E4}"/>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A-A3F6-4B7D-ADF4-7B1B89FE85E4}"/>
              </c:ext>
            </c:extLst>
          </c:dPt>
          <c:dPt>
            <c:idx val="3"/>
            <c:invertIfNegative val="0"/>
            <c:bubble3D val="0"/>
            <c:extLst>
              <c:ext xmlns:c16="http://schemas.microsoft.com/office/drawing/2014/chart" uri="{C3380CC4-5D6E-409C-BE32-E72D297353CC}">
                <c16:uniqueId val="{0000000C-A3F6-4B7D-ADF4-7B1B89FE85E4}"/>
              </c:ext>
            </c:extLst>
          </c:dPt>
          <c:dPt>
            <c:idx val="4"/>
            <c:invertIfNegative val="0"/>
            <c:bubble3D val="0"/>
            <c:extLst>
              <c:ext xmlns:c16="http://schemas.microsoft.com/office/drawing/2014/chart" uri="{C3380CC4-5D6E-409C-BE32-E72D297353CC}">
                <c16:uniqueId val="{0000000F-A3F6-4B7D-ADF4-7B1B89FE85E4}"/>
              </c:ext>
            </c:extLst>
          </c:dPt>
          <c:dPt>
            <c:idx val="5"/>
            <c:invertIfNegative val="0"/>
            <c:bubble3D val="0"/>
            <c:extLst>
              <c:ext xmlns:c16="http://schemas.microsoft.com/office/drawing/2014/chart" uri="{C3380CC4-5D6E-409C-BE32-E72D297353CC}">
                <c16:uniqueId val="{00000011-A3F6-4B7D-ADF4-7B1B89FE85E4}"/>
              </c:ext>
            </c:extLst>
          </c:dPt>
          <c:dPt>
            <c:idx val="6"/>
            <c:invertIfNegative val="0"/>
            <c:bubble3D val="0"/>
            <c:extLst>
              <c:ext xmlns:c16="http://schemas.microsoft.com/office/drawing/2014/chart" uri="{C3380CC4-5D6E-409C-BE32-E72D297353CC}">
                <c16:uniqueId val="{00000017-A3F6-4B7D-ADF4-7B1B89FE85E4}"/>
              </c:ext>
            </c:extLst>
          </c:dPt>
          <c:dPt>
            <c:idx val="7"/>
            <c:invertIfNegative val="0"/>
            <c:bubble3D val="0"/>
            <c:extLst>
              <c:ext xmlns:c16="http://schemas.microsoft.com/office/drawing/2014/chart" uri="{C3380CC4-5D6E-409C-BE32-E72D297353CC}">
                <c16:uniqueId val="{00000019-A3F6-4B7D-ADF4-7B1B89FE85E4}"/>
              </c:ext>
            </c:extLst>
          </c:dPt>
          <c:dPt>
            <c:idx val="8"/>
            <c:invertIfNegative val="0"/>
            <c:bubble3D val="0"/>
            <c:extLst>
              <c:ext xmlns:c16="http://schemas.microsoft.com/office/drawing/2014/chart" uri="{C3380CC4-5D6E-409C-BE32-E72D297353CC}">
                <c16:uniqueId val="{0000001B-A3F6-4B7D-ADF4-7B1B89FE85E4}"/>
              </c:ext>
            </c:extLst>
          </c:dPt>
          <c:dPt>
            <c:idx val="9"/>
            <c:invertIfNegative val="0"/>
            <c:bubble3D val="0"/>
            <c:extLst>
              <c:ext xmlns:c16="http://schemas.microsoft.com/office/drawing/2014/chart" uri="{C3380CC4-5D6E-409C-BE32-E72D297353CC}">
                <c16:uniqueId val="{0000001D-A3F6-4B7D-ADF4-7B1B89FE85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0.17953859938913502</c:v>
                </c:pt>
                <c:pt idx="1">
                  <c:v>0.13418085362031359</c:v>
                </c:pt>
                <c:pt idx="2">
                  <c:v>0.11682215516552065</c:v>
                </c:pt>
                <c:pt idx="3">
                  <c:v>0.10002561305641586</c:v>
                </c:pt>
                <c:pt idx="4">
                  <c:v>9.8454167594908368E-2</c:v>
                </c:pt>
                <c:pt idx="5">
                  <c:v>8.6937405367453285E-2</c:v>
                </c:pt>
                <c:pt idx="6">
                  <c:v>7.7857411174219654E-2</c:v>
                </c:pt>
                <c:pt idx="7">
                  <c:v>7.5386007788250595E-2</c:v>
                </c:pt>
                <c:pt idx="8">
                  <c:v>7.2171360754554659E-2</c:v>
                </c:pt>
                <c:pt idx="9">
                  <c:v>5.862642608922837E-2</c:v>
                </c:pt>
              </c:numCache>
            </c:numRef>
          </c:val>
          <c:extLst>
            <c:ext xmlns:c16="http://schemas.microsoft.com/office/drawing/2014/chart" uri="{C3380CC4-5D6E-409C-BE32-E72D297353CC}">
              <c16:uniqueId val="{00000000-A3F6-4B7D-ADF4-7B1B89FE85E4}"/>
            </c:ext>
          </c:extLst>
        </c:ser>
        <c:dLbls>
          <c:dLblPos val="outEnd"/>
          <c:showLegendKey val="0"/>
          <c:showVal val="1"/>
          <c:showCatName val="0"/>
          <c:showSerName val="0"/>
          <c:showPercent val="0"/>
          <c:showBubbleSize val="0"/>
        </c:dLbls>
        <c:gapWidth val="22"/>
        <c:axId val="101660255"/>
        <c:axId val="101657343"/>
      </c:barChart>
      <c:catAx>
        <c:axId val="101660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7343"/>
        <c:crosses val="autoZero"/>
        <c:auto val="1"/>
        <c:lblAlgn val="ctr"/>
        <c:lblOffset val="100"/>
        <c:noMultiLvlLbl val="0"/>
      </c:catAx>
      <c:valAx>
        <c:axId val="101657343"/>
        <c:scaling>
          <c:orientation val="minMax"/>
        </c:scaling>
        <c:delete val="1"/>
        <c:axPos val="t"/>
        <c:numFmt formatCode="0.00%" sourceLinked="1"/>
        <c:majorTickMark val="none"/>
        <c:minorTickMark val="none"/>
        <c:tickLblPos val="nextTo"/>
        <c:crossAx val="10166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10 Customers (2)!PivotTable1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Top 10 Custpmers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75000"/>
            </a:schemeClr>
          </a:solidFill>
          <a:ln>
            <a:noFill/>
          </a:ln>
          <a:effectLst/>
        </c:spPr>
      </c:pivotFmt>
    </c:pivotFmts>
    <c:plotArea>
      <c:layout/>
      <c:barChart>
        <c:barDir val="bar"/>
        <c:grouping val="clustered"/>
        <c:varyColors val="0"/>
        <c:ser>
          <c:idx val="0"/>
          <c:order val="0"/>
          <c:tx>
            <c:strRef>
              <c:f>'Top 10 Customers (2)'!$B$3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7462-4FAF-9E86-4F4893A2C02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7462-4FAF-9E86-4F4893A2C026}"/>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7462-4FAF-9E86-4F4893A2C026}"/>
              </c:ext>
            </c:extLst>
          </c:dPt>
          <c:dPt>
            <c:idx val="3"/>
            <c:invertIfNegative val="0"/>
            <c:bubble3D val="0"/>
            <c:extLst>
              <c:ext xmlns:c16="http://schemas.microsoft.com/office/drawing/2014/chart" uri="{C3380CC4-5D6E-409C-BE32-E72D297353CC}">
                <c16:uniqueId val="{00000006-7462-4FAF-9E86-4F4893A2C026}"/>
              </c:ext>
            </c:extLst>
          </c:dPt>
          <c:dPt>
            <c:idx val="4"/>
            <c:invertIfNegative val="0"/>
            <c:bubble3D val="0"/>
            <c:extLst>
              <c:ext xmlns:c16="http://schemas.microsoft.com/office/drawing/2014/chart" uri="{C3380CC4-5D6E-409C-BE32-E72D297353CC}">
                <c16:uniqueId val="{00000007-7462-4FAF-9E86-4F4893A2C026}"/>
              </c:ext>
            </c:extLst>
          </c:dPt>
          <c:dPt>
            <c:idx val="5"/>
            <c:invertIfNegative val="0"/>
            <c:bubble3D val="0"/>
            <c:extLst>
              <c:ext xmlns:c16="http://schemas.microsoft.com/office/drawing/2014/chart" uri="{C3380CC4-5D6E-409C-BE32-E72D297353CC}">
                <c16:uniqueId val="{00000008-7462-4FAF-9E86-4F4893A2C026}"/>
              </c:ext>
            </c:extLst>
          </c:dPt>
          <c:dPt>
            <c:idx val="6"/>
            <c:invertIfNegative val="0"/>
            <c:bubble3D val="0"/>
            <c:extLst>
              <c:ext xmlns:c16="http://schemas.microsoft.com/office/drawing/2014/chart" uri="{C3380CC4-5D6E-409C-BE32-E72D297353CC}">
                <c16:uniqueId val="{00000009-7462-4FAF-9E86-4F4893A2C026}"/>
              </c:ext>
            </c:extLst>
          </c:dPt>
          <c:dPt>
            <c:idx val="7"/>
            <c:invertIfNegative val="0"/>
            <c:bubble3D val="0"/>
            <c:extLst>
              <c:ext xmlns:c16="http://schemas.microsoft.com/office/drawing/2014/chart" uri="{C3380CC4-5D6E-409C-BE32-E72D297353CC}">
                <c16:uniqueId val="{0000000A-7462-4FAF-9E86-4F4893A2C026}"/>
              </c:ext>
            </c:extLst>
          </c:dPt>
          <c:dPt>
            <c:idx val="8"/>
            <c:invertIfNegative val="0"/>
            <c:bubble3D val="0"/>
            <c:extLst>
              <c:ext xmlns:c16="http://schemas.microsoft.com/office/drawing/2014/chart" uri="{C3380CC4-5D6E-409C-BE32-E72D297353CC}">
                <c16:uniqueId val="{0000000B-7462-4FAF-9E86-4F4893A2C026}"/>
              </c:ext>
            </c:extLst>
          </c:dPt>
          <c:dPt>
            <c:idx val="9"/>
            <c:invertIfNegative val="0"/>
            <c:bubble3D val="0"/>
            <c:extLst>
              <c:ext xmlns:c16="http://schemas.microsoft.com/office/drawing/2014/chart" uri="{C3380CC4-5D6E-409C-BE32-E72D297353CC}">
                <c16:uniqueId val="{0000000C-7462-4FAF-9E86-4F4893A2C0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(2)'!$A$4:$A$7</c:f>
              <c:strCache>
                <c:ptCount val="3"/>
                <c:pt idx="0">
                  <c:v>Company D</c:v>
                </c:pt>
                <c:pt idx="1">
                  <c:v>Company H</c:v>
                </c:pt>
                <c:pt idx="2">
                  <c:v>Company BB</c:v>
                </c:pt>
              </c:strCache>
            </c:strRef>
          </c:cat>
          <c:val>
            <c:numRef>
              <c:f>'Top 10 Customers (2)'!$B$4:$B$7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0D-7462-4FAF-9E86-4F4893A2C026}"/>
            </c:ext>
          </c:extLst>
        </c:ser>
        <c:dLbls>
          <c:dLblPos val="outEnd"/>
          <c:showLegendKey val="0"/>
          <c:showVal val="1"/>
          <c:showCatName val="0"/>
          <c:showSerName val="0"/>
          <c:showPercent val="0"/>
          <c:showBubbleSize val="0"/>
        </c:dLbls>
        <c:gapWidth val="22"/>
        <c:axId val="101660255"/>
        <c:axId val="101657343"/>
      </c:barChart>
      <c:catAx>
        <c:axId val="101660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7343"/>
        <c:crosses val="autoZero"/>
        <c:auto val="1"/>
        <c:lblAlgn val="ctr"/>
        <c:lblOffset val="100"/>
        <c:noMultiLvlLbl val="0"/>
      </c:catAx>
      <c:valAx>
        <c:axId val="101657343"/>
        <c:scaling>
          <c:orientation val="minMax"/>
        </c:scaling>
        <c:delete val="1"/>
        <c:axPos val="t"/>
        <c:numFmt formatCode="0.00%" sourceLinked="1"/>
        <c:majorTickMark val="none"/>
        <c:minorTickMark val="none"/>
        <c:tickLblPos val="nextTo"/>
        <c:crossAx val="10166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10 Customers (2)!PivotTable1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Lst>
        </c:dLbl>
      </c:pivotFmt>
      <c:pivotFmt>
        <c:idx val="16"/>
        <c:spPr>
          <a:solidFill>
            <a:schemeClr val="accent5">
              <a:lumMod val="60000"/>
              <a:lumOff val="40000"/>
            </a:schemeClr>
          </a:solidFill>
          <a:ln>
            <a:noFill/>
          </a:ln>
          <a:effectLst/>
        </c:spPr>
        <c:dLbl>
          <c:idx val="0"/>
          <c:layout>
            <c:manualLayout>
              <c:x val="-0.13799446022869272"/>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20000"/>
              <a:lumOff val="80000"/>
            </a:schemeClr>
          </a:solidFill>
          <a:ln>
            <a:noFill/>
          </a:ln>
          <a:effectLst/>
        </c:spPr>
        <c:dLbl>
          <c:idx val="0"/>
          <c:layout>
            <c:manualLayout>
              <c:x val="-0.10487578977380646"/>
              <c:y val="-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Lst>
        </c:dLbl>
      </c:pivotFmt>
      <c:pivotFmt>
        <c:idx val="20"/>
        <c:spPr>
          <a:solidFill>
            <a:schemeClr val="accent5">
              <a:lumMod val="60000"/>
              <a:lumOff val="40000"/>
            </a:schemeClr>
          </a:solidFill>
          <a:ln>
            <a:noFill/>
          </a:ln>
          <a:effectLst/>
        </c:spPr>
        <c:dLbl>
          <c:idx val="0"/>
          <c:layout>
            <c:manualLayout>
              <c:x val="-0.13799446022869272"/>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20000"/>
              <a:lumOff val="80000"/>
            </a:schemeClr>
          </a:solidFill>
          <a:ln>
            <a:noFill/>
          </a:ln>
          <a:effectLst/>
        </c:spPr>
        <c:dLbl>
          <c:idx val="0"/>
          <c:layout>
            <c:manualLayout>
              <c:x val="-0.10487578977380646"/>
              <c:y val="-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s>
    <c:plotArea>
      <c:layout/>
      <c:doughnutChart>
        <c:varyColors val="1"/>
        <c:ser>
          <c:idx val="0"/>
          <c:order val="0"/>
          <c:tx>
            <c:strRef>
              <c:f>'Top 10 Customers (2)'!$B$3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7915-46B6-80ED-41E528B57DDF}"/>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7915-46B6-80ED-41E528B57DDF}"/>
              </c:ext>
            </c:extLst>
          </c:dPt>
          <c:dPt>
            <c:idx val="2"/>
            <c:bubble3D val="0"/>
            <c:spPr>
              <a:solidFill>
                <a:schemeClr val="accent5">
                  <a:lumMod val="20000"/>
                  <a:lumOff val="80000"/>
                </a:schemeClr>
              </a:solidFill>
              <a:ln>
                <a:noFill/>
              </a:ln>
              <a:effectLst/>
            </c:spPr>
            <c:extLst>
              <c:ext xmlns:c16="http://schemas.microsoft.com/office/drawing/2014/chart" uri="{C3380CC4-5D6E-409C-BE32-E72D297353CC}">
                <c16:uniqueId val="{00000005-7915-46B6-80ED-41E528B57DDF}"/>
              </c:ext>
            </c:extLst>
          </c:dPt>
          <c:dPt>
            <c:idx val="3"/>
            <c:bubble3D val="0"/>
            <c:spPr>
              <a:solidFill>
                <a:schemeClr val="accent4"/>
              </a:solidFill>
              <a:ln>
                <a:noFill/>
              </a:ln>
              <a:effectLst/>
            </c:spPr>
            <c:extLst>
              <c:ext xmlns:c16="http://schemas.microsoft.com/office/drawing/2014/chart" uri="{C3380CC4-5D6E-409C-BE32-E72D297353CC}">
                <c16:uniqueId val="{00000007-7915-46B6-80ED-41E528B57DDF}"/>
              </c:ext>
            </c:extLst>
          </c:dPt>
          <c:dPt>
            <c:idx val="4"/>
            <c:bubble3D val="0"/>
            <c:spPr>
              <a:solidFill>
                <a:schemeClr val="accent5"/>
              </a:solidFill>
              <a:ln>
                <a:noFill/>
              </a:ln>
              <a:effectLst/>
            </c:spPr>
            <c:extLst>
              <c:ext xmlns:c16="http://schemas.microsoft.com/office/drawing/2014/chart" uri="{C3380CC4-5D6E-409C-BE32-E72D297353CC}">
                <c16:uniqueId val="{00000009-7915-46B6-80ED-41E528B57DDF}"/>
              </c:ext>
            </c:extLst>
          </c:dPt>
          <c:dPt>
            <c:idx val="5"/>
            <c:bubble3D val="0"/>
            <c:spPr>
              <a:solidFill>
                <a:schemeClr val="accent6"/>
              </a:solidFill>
              <a:ln>
                <a:noFill/>
              </a:ln>
              <a:effectLst/>
            </c:spPr>
            <c:extLst>
              <c:ext xmlns:c16="http://schemas.microsoft.com/office/drawing/2014/chart" uri="{C3380CC4-5D6E-409C-BE32-E72D297353CC}">
                <c16:uniqueId val="{0000000B-7915-46B6-80ED-41E528B57DD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915-46B6-80ED-41E528B57DD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915-46B6-80ED-41E528B57DD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915-46B6-80ED-41E528B57DD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915-46B6-80ED-41E528B57DDF}"/>
              </c:ext>
            </c:extLst>
          </c:dPt>
          <c:dLbls>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 xmlns:c16="http://schemas.microsoft.com/office/drawing/2014/chart" uri="{C3380CC4-5D6E-409C-BE32-E72D297353CC}">
                  <c16:uniqueId val="{00000001-7915-46B6-80ED-41E528B57DDF}"/>
                </c:ext>
              </c:extLst>
            </c:dLbl>
            <c:dLbl>
              <c:idx val="1"/>
              <c:layout>
                <c:manualLayout>
                  <c:x val="-0.13799446022869272"/>
                  <c:y val="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15-46B6-80ED-41E528B57DDF}"/>
                </c:ext>
              </c:extLst>
            </c:dLbl>
            <c:dLbl>
              <c:idx val="2"/>
              <c:layout>
                <c:manualLayout>
                  <c:x val="-0.10487578977380646"/>
                  <c:y val="-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15-46B6-80ED-41E528B57D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 (2)'!$A$4:$A$7</c:f>
              <c:strCache>
                <c:ptCount val="3"/>
                <c:pt idx="0">
                  <c:v>Company D</c:v>
                </c:pt>
                <c:pt idx="1">
                  <c:v>Company H</c:v>
                </c:pt>
                <c:pt idx="2">
                  <c:v>Company BB</c:v>
                </c:pt>
              </c:strCache>
            </c:strRef>
          </c:cat>
          <c:val>
            <c:numRef>
              <c:f>'Top 10 Customers (2)'!$B$4:$B$7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7915-46B6-80ED-41E528B57DD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10 Customers (2)!PivotTable1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Top 10 Custpmers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75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75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75000"/>
            </a:schemeClr>
          </a:solidFill>
          <a:ln>
            <a:noFill/>
          </a:ln>
          <a:effectLst/>
        </c:spPr>
      </c:pivotFmt>
    </c:pivotFmts>
    <c:plotArea>
      <c:layout/>
      <c:barChart>
        <c:barDir val="bar"/>
        <c:grouping val="clustered"/>
        <c:varyColors val="0"/>
        <c:ser>
          <c:idx val="0"/>
          <c:order val="0"/>
          <c:tx>
            <c:strRef>
              <c:f>'Top 10 Customers (2)'!$B$3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932-4133-96B5-8D53409ECE2F}"/>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932-4133-96B5-8D53409ECE2F}"/>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2932-4133-96B5-8D53409ECE2F}"/>
              </c:ext>
            </c:extLst>
          </c:dPt>
          <c:dPt>
            <c:idx val="3"/>
            <c:invertIfNegative val="0"/>
            <c:bubble3D val="0"/>
            <c:extLst>
              <c:ext xmlns:c16="http://schemas.microsoft.com/office/drawing/2014/chart" uri="{C3380CC4-5D6E-409C-BE32-E72D297353CC}">
                <c16:uniqueId val="{00000006-2932-4133-96B5-8D53409ECE2F}"/>
              </c:ext>
            </c:extLst>
          </c:dPt>
          <c:dPt>
            <c:idx val="4"/>
            <c:invertIfNegative val="0"/>
            <c:bubble3D val="0"/>
            <c:extLst>
              <c:ext xmlns:c16="http://schemas.microsoft.com/office/drawing/2014/chart" uri="{C3380CC4-5D6E-409C-BE32-E72D297353CC}">
                <c16:uniqueId val="{00000007-2932-4133-96B5-8D53409ECE2F}"/>
              </c:ext>
            </c:extLst>
          </c:dPt>
          <c:dPt>
            <c:idx val="5"/>
            <c:invertIfNegative val="0"/>
            <c:bubble3D val="0"/>
            <c:extLst>
              <c:ext xmlns:c16="http://schemas.microsoft.com/office/drawing/2014/chart" uri="{C3380CC4-5D6E-409C-BE32-E72D297353CC}">
                <c16:uniqueId val="{00000008-2932-4133-96B5-8D53409ECE2F}"/>
              </c:ext>
            </c:extLst>
          </c:dPt>
          <c:dPt>
            <c:idx val="6"/>
            <c:invertIfNegative val="0"/>
            <c:bubble3D val="0"/>
            <c:extLst>
              <c:ext xmlns:c16="http://schemas.microsoft.com/office/drawing/2014/chart" uri="{C3380CC4-5D6E-409C-BE32-E72D297353CC}">
                <c16:uniqueId val="{00000009-2932-4133-96B5-8D53409ECE2F}"/>
              </c:ext>
            </c:extLst>
          </c:dPt>
          <c:dPt>
            <c:idx val="7"/>
            <c:invertIfNegative val="0"/>
            <c:bubble3D val="0"/>
            <c:extLst>
              <c:ext xmlns:c16="http://schemas.microsoft.com/office/drawing/2014/chart" uri="{C3380CC4-5D6E-409C-BE32-E72D297353CC}">
                <c16:uniqueId val="{0000000A-2932-4133-96B5-8D53409ECE2F}"/>
              </c:ext>
            </c:extLst>
          </c:dPt>
          <c:dPt>
            <c:idx val="8"/>
            <c:invertIfNegative val="0"/>
            <c:bubble3D val="0"/>
            <c:extLst>
              <c:ext xmlns:c16="http://schemas.microsoft.com/office/drawing/2014/chart" uri="{C3380CC4-5D6E-409C-BE32-E72D297353CC}">
                <c16:uniqueId val="{0000000B-2932-4133-96B5-8D53409ECE2F}"/>
              </c:ext>
            </c:extLst>
          </c:dPt>
          <c:dPt>
            <c:idx val="9"/>
            <c:invertIfNegative val="0"/>
            <c:bubble3D val="0"/>
            <c:extLst>
              <c:ext xmlns:c16="http://schemas.microsoft.com/office/drawing/2014/chart" uri="{C3380CC4-5D6E-409C-BE32-E72D297353CC}">
                <c16:uniqueId val="{0000000C-2932-4133-96B5-8D53409ECE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(2)'!$A$4:$A$7</c:f>
              <c:strCache>
                <c:ptCount val="3"/>
                <c:pt idx="0">
                  <c:v>Company D</c:v>
                </c:pt>
                <c:pt idx="1">
                  <c:v>Company H</c:v>
                </c:pt>
                <c:pt idx="2">
                  <c:v>Company BB</c:v>
                </c:pt>
              </c:strCache>
            </c:strRef>
          </c:cat>
          <c:val>
            <c:numRef>
              <c:f>'Top 10 Customers (2)'!$B$4:$B$7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0D-2932-4133-96B5-8D53409ECE2F}"/>
            </c:ext>
          </c:extLst>
        </c:ser>
        <c:dLbls>
          <c:dLblPos val="outEnd"/>
          <c:showLegendKey val="0"/>
          <c:showVal val="1"/>
          <c:showCatName val="0"/>
          <c:showSerName val="0"/>
          <c:showPercent val="0"/>
          <c:showBubbleSize val="0"/>
        </c:dLbls>
        <c:gapWidth val="22"/>
        <c:axId val="101660255"/>
        <c:axId val="101657343"/>
      </c:barChart>
      <c:catAx>
        <c:axId val="101660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7343"/>
        <c:crosses val="autoZero"/>
        <c:auto val="1"/>
        <c:lblAlgn val="ctr"/>
        <c:lblOffset val="100"/>
        <c:noMultiLvlLbl val="0"/>
      </c:catAx>
      <c:valAx>
        <c:axId val="101657343"/>
        <c:scaling>
          <c:orientation val="minMax"/>
        </c:scaling>
        <c:delete val="1"/>
        <c:axPos val="t"/>
        <c:numFmt formatCode="0.00%" sourceLinked="1"/>
        <c:majorTickMark val="none"/>
        <c:minorTickMark val="none"/>
        <c:tickLblPos val="nextTo"/>
        <c:crossAx val="10166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by Region!PivotTable2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ln w="28575" cap="rnd">
            <a:solidFill>
              <a:schemeClr val="accent5">
                <a:lumMod val="50000"/>
              </a:schemeClr>
            </a:solidFill>
            <a:round/>
          </a:ln>
          <a:effectLst/>
        </c:spPr>
        <c:marker>
          <c:symbol val="none"/>
        </c:marker>
        <c:dLbl>
          <c:idx val="0"/>
          <c:layout>
            <c:manualLayout>
              <c:x val="0.10307998012916045"/>
              <c:y val="4.4444444444444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11863047670457"/>
                  <c:h val="6.2155730533683277E-2"/>
                </c:manualLayout>
              </c15:layout>
            </c:ext>
          </c:extLst>
        </c:dLbl>
      </c:pivotFmt>
      <c:pivotFmt>
        <c:idx val="19"/>
        <c:spPr>
          <a:ln w="28575" cap="rnd">
            <a:solidFill>
              <a:schemeClr val="accent5">
                <a:lumMod val="50000"/>
              </a:schemeClr>
            </a:solidFill>
            <a:round/>
          </a:ln>
          <a:effectLst/>
        </c:spPr>
        <c:marker>
          <c:symbol val="none"/>
        </c:marker>
        <c:dLbl>
          <c:idx val="0"/>
          <c:layout>
            <c:manualLayout>
              <c:x val="8.9418777943368111E-2"/>
              <c:y val="5.7777952755905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63477553383324"/>
                  <c:h val="6.2155730533683277E-2"/>
                </c:manualLayout>
              </c15:layout>
            </c:ext>
          </c:extLst>
        </c:dLbl>
      </c:pivotFmt>
      <c:pivotFmt>
        <c:idx val="20"/>
        <c:spPr>
          <a:ln w="28575" cap="rnd">
            <a:solidFill>
              <a:schemeClr val="accent5">
                <a:lumMod val="50000"/>
              </a:schemeClr>
            </a:solidFill>
            <a:round/>
          </a:ln>
          <a:effectLst/>
        </c:spPr>
        <c:marker>
          <c:symbol val="none"/>
        </c:marker>
        <c:dLbl>
          <c:idx val="0"/>
          <c:layout>
            <c:manualLayout>
              <c:x val="-5.9612518628912113E-2"/>
              <c:y val="7.5555555555555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27610688008262"/>
                  <c:h val="6.2155730533683277E-2"/>
                </c:manualLayout>
              </c15:layout>
            </c:ext>
          </c:extLst>
        </c:dLbl>
      </c:pivotFmt>
      <c:pivotFmt>
        <c:idx val="21"/>
        <c:spPr>
          <a:ln w="28575" cap="rnd">
            <a:solidFill>
              <a:schemeClr val="accent5">
                <a:lumMod val="50000"/>
              </a:schemeClr>
            </a:solidFill>
            <a:round/>
          </a:ln>
          <a:effectLst/>
        </c:spPr>
        <c:marker>
          <c:symbol val="none"/>
        </c:marker>
        <c:dLbl>
          <c:idx val="0"/>
          <c:layout>
            <c:manualLayout>
              <c:x val="-0.10680576254346746"/>
              <c:y val="-6.8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27610688008262"/>
                  <c:h val="6.660017497812773E-2"/>
                </c:manualLayout>
              </c15:layout>
            </c:ext>
          </c:extLst>
        </c:dLbl>
      </c:pivotFmt>
      <c:pivotFmt>
        <c:idx val="22"/>
        <c:spPr>
          <a:solidFill>
            <a:schemeClr val="accent1"/>
          </a:solidFill>
          <a:ln>
            <a:noFill/>
          </a:ln>
          <a:effectLst/>
        </c:spPr>
        <c:marker>
          <c:symbol val="none"/>
        </c:marker>
      </c:pivotFmt>
      <c:pivotFmt>
        <c:idx val="23"/>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'Sales by Region'!$B$3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D1A7-4099-A5D1-96B02D3AFA5E}"/>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D1A7-4099-A5D1-96B02D3AFA5E}"/>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D1A7-4099-A5D1-96B02D3AFA5E}"/>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D1A7-4099-A5D1-96B02D3AFA5E}"/>
              </c:ext>
            </c:extLst>
          </c:dPt>
          <c:dPt>
            <c:idx val="4"/>
            <c:marker>
              <c:symbol val="none"/>
            </c:marker>
            <c:bubble3D val="0"/>
            <c:extLst>
              <c:ext xmlns:c16="http://schemas.microsoft.com/office/drawing/2014/chart" uri="{C3380CC4-5D6E-409C-BE32-E72D297353CC}">
                <c16:uniqueId val="{00000009-D1A7-4099-A5D1-96B02D3AFA5E}"/>
              </c:ext>
            </c:extLst>
          </c:dPt>
          <c:dPt>
            <c:idx val="5"/>
            <c:marker>
              <c:symbol val="none"/>
            </c:marker>
            <c:bubble3D val="0"/>
            <c:extLst>
              <c:ext xmlns:c16="http://schemas.microsoft.com/office/drawing/2014/chart" uri="{C3380CC4-5D6E-409C-BE32-E72D297353CC}">
                <c16:uniqueId val="{0000000B-D1A7-4099-A5D1-96B02D3AFA5E}"/>
              </c:ext>
            </c:extLst>
          </c:dPt>
          <c:dPt>
            <c:idx val="6"/>
            <c:marker>
              <c:symbol val="none"/>
            </c:marker>
            <c:bubble3D val="0"/>
            <c:extLst>
              <c:ext xmlns:c16="http://schemas.microsoft.com/office/drawing/2014/chart" uri="{C3380CC4-5D6E-409C-BE32-E72D297353CC}">
                <c16:uniqueId val="{0000000D-D1A7-4099-A5D1-96B02D3AFA5E}"/>
              </c:ext>
            </c:extLst>
          </c:dPt>
          <c:dPt>
            <c:idx val="7"/>
            <c:marker>
              <c:symbol val="none"/>
            </c:marker>
            <c:bubble3D val="0"/>
            <c:extLst>
              <c:ext xmlns:c16="http://schemas.microsoft.com/office/drawing/2014/chart" uri="{C3380CC4-5D6E-409C-BE32-E72D297353CC}">
                <c16:uniqueId val="{0000000F-D1A7-4099-A5D1-96B02D3AFA5E}"/>
              </c:ext>
            </c:extLst>
          </c:dPt>
          <c:dLbls>
            <c:dLbl>
              <c:idx val="0"/>
              <c:layout>
                <c:manualLayout>
                  <c:x val="0.10307998012916045"/>
                  <c:y val="4.4444444444444439E-2"/>
                </c:manualLayout>
              </c:layout>
              <c:showLegendKey val="0"/>
              <c:showVal val="1"/>
              <c:showCatName val="0"/>
              <c:showSerName val="0"/>
              <c:showPercent val="0"/>
              <c:showBubbleSize val="0"/>
              <c:extLst>
                <c:ext xmlns:c15="http://schemas.microsoft.com/office/drawing/2012/chart" uri="{CE6537A1-D6FC-4f65-9D91-7224C49458BB}">
                  <c15:layout>
                    <c:manualLayout>
                      <c:w val="0.12211863047670457"/>
                      <c:h val="6.2155730533683277E-2"/>
                    </c:manualLayout>
                  </c15:layout>
                </c:ext>
                <c:ext xmlns:c16="http://schemas.microsoft.com/office/drawing/2014/chart" uri="{C3380CC4-5D6E-409C-BE32-E72D297353CC}">
                  <c16:uniqueId val="{00000001-D1A7-4099-A5D1-96B02D3AFA5E}"/>
                </c:ext>
              </c:extLst>
            </c:dLbl>
            <c:dLbl>
              <c:idx val="1"/>
              <c:layout>
                <c:manualLayout>
                  <c:x val="8.9418777943368111E-2"/>
                  <c:y val="5.7777952755905512E-2"/>
                </c:manualLayout>
              </c:layout>
              <c:showLegendKey val="0"/>
              <c:showVal val="1"/>
              <c:showCatName val="0"/>
              <c:showSerName val="0"/>
              <c:showPercent val="0"/>
              <c:showBubbleSize val="0"/>
              <c:extLst>
                <c:ext xmlns:c15="http://schemas.microsoft.com/office/drawing/2012/chart" uri="{CE6537A1-D6FC-4f65-9D91-7224C49458BB}">
                  <c15:layout>
                    <c:manualLayout>
                      <c:w val="0.11963477553383324"/>
                      <c:h val="6.2155730533683277E-2"/>
                    </c:manualLayout>
                  </c15:layout>
                </c:ext>
                <c:ext xmlns:c16="http://schemas.microsoft.com/office/drawing/2014/chart" uri="{C3380CC4-5D6E-409C-BE32-E72D297353CC}">
                  <c16:uniqueId val="{00000003-D1A7-4099-A5D1-96B02D3AFA5E}"/>
                </c:ext>
              </c:extLst>
            </c:dLbl>
            <c:dLbl>
              <c:idx val="2"/>
              <c:layout>
                <c:manualLayout>
                  <c:x val="-5.9612518628912113E-2"/>
                  <c:y val="7.5555555555555376E-2"/>
                </c:manualLayout>
              </c:layout>
              <c:showLegendKey val="0"/>
              <c:showVal val="1"/>
              <c:showCatName val="0"/>
              <c:showSerName val="0"/>
              <c:showPercent val="0"/>
              <c:showBubbleSize val="0"/>
              <c:extLst>
                <c:ext xmlns:c15="http://schemas.microsoft.com/office/drawing/2012/chart" uri="{CE6537A1-D6FC-4f65-9D91-7224C49458BB}">
                  <c15:layout>
                    <c:manualLayout>
                      <c:w val="0.11327610688008262"/>
                      <c:h val="6.2155730533683277E-2"/>
                    </c:manualLayout>
                  </c15:layout>
                </c:ext>
                <c:ext xmlns:c16="http://schemas.microsoft.com/office/drawing/2014/chart" uri="{C3380CC4-5D6E-409C-BE32-E72D297353CC}">
                  <c16:uniqueId val="{00000005-D1A7-4099-A5D1-96B02D3AFA5E}"/>
                </c:ext>
              </c:extLst>
            </c:dLbl>
            <c:dLbl>
              <c:idx val="3"/>
              <c:layout>
                <c:manualLayout>
                  <c:x val="-0.10680576254346746"/>
                  <c:y val="-6.8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27610688008262"/>
                      <c:h val="6.660017497812773E-2"/>
                    </c:manualLayout>
                  </c15:layout>
                </c:ext>
                <c:ext xmlns:c16="http://schemas.microsoft.com/office/drawing/2014/chart" uri="{C3380CC4-5D6E-409C-BE32-E72D297353CC}">
                  <c16:uniqueId val="{00000007-D1A7-4099-A5D1-96B02D3AFA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North</c:v>
                </c:pt>
                <c:pt idx="1">
                  <c:v>East</c:v>
                </c:pt>
                <c:pt idx="2">
                  <c:v>South</c:v>
                </c:pt>
                <c:pt idx="3">
                  <c:v>West</c:v>
                </c:pt>
              </c:strCache>
            </c:strRef>
          </c:cat>
          <c:val>
            <c:numRef>
              <c:f>'Sales by Region'!$B$4:$B$8</c:f>
              <c:numCache>
                <c:formatCode>"$"#,##0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10-D1A7-4099-A5D1-96B02D3AFA5E}"/>
            </c:ext>
          </c:extLst>
        </c:ser>
        <c:dLbls>
          <c:showLegendKey val="0"/>
          <c:showVal val="0"/>
          <c:showCatName val="0"/>
          <c:showSerName val="0"/>
          <c:showPercent val="0"/>
          <c:showBubbleSize val="0"/>
        </c:dLbls>
        <c:axId val="237198208"/>
        <c:axId val="237196960"/>
      </c:radarChart>
      <c:catAx>
        <c:axId val="23719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96960"/>
        <c:crosses val="autoZero"/>
        <c:auto val="1"/>
        <c:lblAlgn val="ctr"/>
        <c:lblOffset val="100"/>
        <c:noMultiLvlLbl val="0"/>
      </c:catAx>
      <c:valAx>
        <c:axId val="23719696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237198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Performance by Rep!PivotTable2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0"/>
              <c:y val="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dLbl>
          <c:idx val="0"/>
          <c:layout>
            <c:manualLayout>
              <c:x val="4.9677098857426726E-3"/>
              <c:y val="-8.8888888888888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7494279310465998E-3"/>
              <c:y val="-3.38337707786526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4903129657228018E-2"/>
              <c:y val="1.33333333333332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s>
    <c:plotArea>
      <c:layout>
        <c:manualLayout>
          <c:layoutTarget val="inner"/>
          <c:xMode val="edge"/>
          <c:yMode val="edge"/>
          <c:x val="0.18061732596391175"/>
          <c:y val="0.11138862642169729"/>
          <c:w val="0.43436442650331897"/>
          <c:h val="0.77722274715660544"/>
        </c:manualLayout>
      </c:layout>
      <c:doughnutChart>
        <c:varyColors val="1"/>
        <c:ser>
          <c:idx val="0"/>
          <c:order val="0"/>
          <c:tx>
            <c:strRef>
              <c:f>'Sales Performance by Rep'!$B$3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8-5714-4708-A520-0906FAF4D736}"/>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B-5714-4708-A520-0906FAF4D736}"/>
              </c:ext>
            </c:extLst>
          </c:dPt>
          <c:dPt>
            <c:idx val="2"/>
            <c:bubble3D val="0"/>
            <c:spPr>
              <a:solidFill>
                <a:schemeClr val="accent3"/>
              </a:solidFill>
              <a:ln>
                <a:noFill/>
              </a:ln>
              <a:effectLst/>
            </c:spPr>
            <c:extLst>
              <c:ext xmlns:c16="http://schemas.microsoft.com/office/drawing/2014/chart" uri="{C3380CC4-5D6E-409C-BE32-E72D297353CC}">
                <c16:uniqueId val="{0000000D-5714-4708-A520-0906FAF4D736}"/>
              </c:ext>
            </c:extLst>
          </c:dPt>
          <c:dPt>
            <c:idx val="3"/>
            <c:bubble3D val="0"/>
            <c:spPr>
              <a:solidFill>
                <a:schemeClr val="accent4"/>
              </a:solidFill>
              <a:ln>
                <a:noFill/>
              </a:ln>
              <a:effectLst/>
            </c:spPr>
            <c:extLst>
              <c:ext xmlns:c16="http://schemas.microsoft.com/office/drawing/2014/chart" uri="{C3380CC4-5D6E-409C-BE32-E72D297353CC}">
                <c16:uniqueId val="{0000001A-5714-4708-A520-0906FAF4D736}"/>
              </c:ext>
            </c:extLst>
          </c:dPt>
          <c:dPt>
            <c:idx val="4"/>
            <c:bubble3D val="0"/>
            <c:spPr>
              <a:solidFill>
                <a:schemeClr val="accent5"/>
              </a:solidFill>
              <a:ln>
                <a:noFill/>
              </a:ln>
              <a:effectLst/>
            </c:spPr>
            <c:extLst>
              <c:ext xmlns:c16="http://schemas.microsoft.com/office/drawing/2014/chart" uri="{C3380CC4-5D6E-409C-BE32-E72D297353CC}">
                <c16:uniqueId val="{00000018-5714-4708-A520-0906FAF4D736}"/>
              </c:ext>
            </c:extLst>
          </c:dPt>
          <c:dPt>
            <c:idx val="5"/>
            <c:bubble3D val="0"/>
            <c:spPr>
              <a:solidFill>
                <a:schemeClr val="accent6"/>
              </a:solidFill>
              <a:ln>
                <a:noFill/>
              </a:ln>
              <a:effectLst/>
            </c:spPr>
            <c:extLst>
              <c:ext xmlns:c16="http://schemas.microsoft.com/office/drawing/2014/chart" uri="{C3380CC4-5D6E-409C-BE32-E72D297353CC}">
                <c16:uniqueId val="{00000016-5714-4708-A520-0906FAF4D73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4-5714-4708-A520-0906FAF4D73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11-5714-4708-A520-0906FAF4D736}"/>
              </c:ext>
            </c:extLst>
          </c:dPt>
          <c:dLbls>
            <c:dLbl>
              <c:idx val="0"/>
              <c:layout>
                <c:manualLayout>
                  <c:x val="0"/>
                  <c:y val="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714-4708-A520-0906FAF4D736}"/>
                </c:ext>
              </c:extLst>
            </c:dLbl>
            <c:dLbl>
              <c:idx val="1"/>
              <c:layout>
                <c:manualLayout>
                  <c:x val="4.9677098857426726E-3"/>
                  <c:y val="-8.88888888888888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714-4708-A520-0906FAF4D736}"/>
                </c:ext>
              </c:extLst>
            </c:dLbl>
            <c:dLbl>
              <c:idx val="2"/>
              <c:layout>
                <c:manualLayout>
                  <c:x val="8.7494279310465998E-3"/>
                  <c:y val="-3.38337707786526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714-4708-A520-0906FAF4D7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Rep'!$A$4:$A$7</c:f>
              <c:strCache>
                <c:ptCount val="3"/>
                <c:pt idx="0">
                  <c:v>Nancy Freehafer</c:v>
                </c:pt>
                <c:pt idx="1">
                  <c:v>Anne Larsen</c:v>
                </c:pt>
                <c:pt idx="2">
                  <c:v>Andrew Cencini</c:v>
                </c:pt>
              </c:strCache>
            </c:strRef>
          </c:cat>
          <c:val>
            <c:numRef>
              <c:f>'Sales Performance by Rep'!$B$4:$B$7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0-8D04-4993-81F7-A0A070985C1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by product 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Product Category Analysis </a:t>
            </a:r>
            <a:r>
              <a:rPr lang="en-US" baseline="0">
                <a:latin typeface="Garamond" panose="02020404030301010803" pitchFamily="18" charset="0"/>
              </a:rPr>
              <a:t>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1"/>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DD5A-4E2F-A322-811EF5234F2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D5A-4E2F-A322-811EF5234F24}"/>
              </c:ext>
            </c:extLst>
          </c:dPt>
          <c:dPt>
            <c:idx val="2"/>
            <c:invertIfNegative val="0"/>
            <c:bubble3D val="0"/>
            <c:extLst>
              <c:ext xmlns:c16="http://schemas.microsoft.com/office/drawing/2014/chart" uri="{C3380CC4-5D6E-409C-BE32-E72D297353CC}">
                <c16:uniqueId val="{00000005-DD5A-4E2F-A322-811EF5234F24}"/>
              </c:ext>
            </c:extLst>
          </c:dPt>
          <c:dPt>
            <c:idx val="3"/>
            <c:invertIfNegative val="0"/>
            <c:bubble3D val="0"/>
            <c:extLst>
              <c:ext xmlns:c16="http://schemas.microsoft.com/office/drawing/2014/chart" uri="{C3380CC4-5D6E-409C-BE32-E72D297353CC}">
                <c16:uniqueId val="{00000007-DD5A-4E2F-A322-811EF5234F24}"/>
              </c:ext>
            </c:extLst>
          </c:dPt>
          <c:dPt>
            <c:idx val="4"/>
            <c:invertIfNegative val="0"/>
            <c:bubble3D val="0"/>
            <c:extLst>
              <c:ext xmlns:c16="http://schemas.microsoft.com/office/drawing/2014/chart" uri="{C3380CC4-5D6E-409C-BE32-E72D297353CC}">
                <c16:uniqueId val="{00000009-DD5A-4E2F-A322-811EF5234F24}"/>
              </c:ext>
            </c:extLst>
          </c:dPt>
          <c:dPt>
            <c:idx val="5"/>
            <c:invertIfNegative val="0"/>
            <c:bubble3D val="0"/>
            <c:extLst>
              <c:ext xmlns:c16="http://schemas.microsoft.com/office/drawing/2014/chart" uri="{C3380CC4-5D6E-409C-BE32-E72D297353CC}">
                <c16:uniqueId val="{0000000B-DD5A-4E2F-A322-811EF5234F24}"/>
              </c:ext>
            </c:extLst>
          </c:dPt>
          <c:dPt>
            <c:idx val="6"/>
            <c:invertIfNegative val="0"/>
            <c:bubble3D val="0"/>
            <c:extLst>
              <c:ext xmlns:c16="http://schemas.microsoft.com/office/drawing/2014/chart" uri="{C3380CC4-5D6E-409C-BE32-E72D297353CC}">
                <c16:uniqueId val="{0000000D-DD5A-4E2F-A322-811EF5234F24}"/>
              </c:ext>
            </c:extLst>
          </c:dPt>
          <c:dPt>
            <c:idx val="7"/>
            <c:invertIfNegative val="0"/>
            <c:bubble3D val="0"/>
            <c:extLst>
              <c:ext xmlns:c16="http://schemas.microsoft.com/office/drawing/2014/chart" uri="{C3380CC4-5D6E-409C-BE32-E72D297353CC}">
                <c16:uniqueId val="{0000000F-DD5A-4E2F-A322-811EF5234F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category'!$A$4:$A$7</c:f>
              <c:strCache>
                <c:ptCount val="3"/>
                <c:pt idx="0">
                  <c:v>Beverages</c:v>
                </c:pt>
                <c:pt idx="1">
                  <c:v>Sauces</c:v>
                </c:pt>
                <c:pt idx="2">
                  <c:v>Jams, Preserves</c:v>
                </c:pt>
              </c:strCache>
            </c:strRef>
          </c:cat>
          <c:val>
            <c:numRef>
              <c:f>'Sales by product category'!$B$4:$B$7</c:f>
              <c:numCache>
                <c:formatCode>"$"#,##0</c:formatCode>
                <c:ptCount val="3"/>
                <c:pt idx="0">
                  <c:v>110577.10999999999</c:v>
                </c:pt>
                <c:pt idx="1">
                  <c:v>69000</c:v>
                </c:pt>
                <c:pt idx="2">
                  <c:v>51541</c:v>
                </c:pt>
              </c:numCache>
            </c:numRef>
          </c:val>
          <c:extLst>
            <c:ext xmlns:c16="http://schemas.microsoft.com/office/drawing/2014/chart" uri="{C3380CC4-5D6E-409C-BE32-E72D297353CC}">
              <c16:uniqueId val="{00000010-DD5A-4E2F-A322-811EF5234F24}"/>
            </c:ext>
          </c:extLst>
        </c:ser>
        <c:dLbls>
          <c:dLblPos val="outEnd"/>
          <c:showLegendKey val="0"/>
          <c:showVal val="1"/>
          <c:showCatName val="0"/>
          <c:showSerName val="0"/>
          <c:showPercent val="0"/>
          <c:showBubbleSize val="0"/>
        </c:dLbls>
        <c:gapWidth val="20"/>
        <c:axId val="757913392"/>
        <c:axId val="757907152"/>
      </c:barChart>
      <c:catAx>
        <c:axId val="7579133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07152"/>
        <c:crosses val="autoZero"/>
        <c:auto val="1"/>
        <c:lblAlgn val="ctr"/>
        <c:lblOffset val="100"/>
        <c:noMultiLvlLbl val="0"/>
      </c:catAx>
      <c:valAx>
        <c:axId val="757907152"/>
        <c:scaling>
          <c:orientation val="minMax"/>
        </c:scaling>
        <c:delete val="1"/>
        <c:axPos val="t"/>
        <c:numFmt formatCode="&quot;$&quot;#,##0" sourceLinked="1"/>
        <c:majorTickMark val="none"/>
        <c:minorTickMark val="none"/>
        <c:tickLblPos val="nextTo"/>
        <c:crossAx val="75791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Trend report!PivotTable2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Sales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bg2">
              <a:lumMod val="10000"/>
            </a:schemeClr>
          </a:solidFill>
          <a:ln>
            <a:noFill/>
          </a:ln>
          <a:effectLst/>
        </c:spPr>
      </c:pivotFmt>
      <c:pivotFmt>
        <c:idx val="19"/>
        <c:spPr>
          <a:solidFill>
            <a:schemeClr val="bg2">
              <a:lumMod val="25000"/>
            </a:schemeClr>
          </a:solidFill>
          <a:ln>
            <a:noFill/>
          </a:ln>
          <a:effectLst/>
        </c:spPr>
      </c:pivotFmt>
      <c:pivotFmt>
        <c:idx val="20"/>
        <c:spPr>
          <a:solidFill>
            <a:schemeClr val="bg2">
              <a:lumMod val="50000"/>
            </a:schemeClr>
          </a:solidFill>
          <a:ln>
            <a:noFill/>
          </a:ln>
          <a:effectLst/>
        </c:spPr>
      </c:pivotFmt>
      <c:pivotFmt>
        <c:idx val="21"/>
        <c:spPr>
          <a:solidFill>
            <a:schemeClr val="bg2">
              <a:lumMod val="75000"/>
            </a:schemeClr>
          </a:solidFill>
          <a:ln>
            <a:noFill/>
          </a:ln>
          <a:effectLst/>
        </c:spPr>
      </c:pivotFmt>
      <c:pivotFmt>
        <c:idx val="22"/>
        <c:spPr>
          <a:solidFill>
            <a:schemeClr val="bg2">
              <a:lumMod val="75000"/>
            </a:schemeClr>
          </a:solidFill>
          <a:ln>
            <a:noFill/>
          </a:ln>
          <a:effectLst/>
        </c:spPr>
      </c:pivotFmt>
      <c:pivotFmt>
        <c:idx val="23"/>
        <c:spPr>
          <a:solidFill>
            <a:schemeClr val="bg2">
              <a:lumMod val="9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2">
              <a:lumMod val="10000"/>
            </a:schemeClr>
          </a:solidFill>
          <a:ln>
            <a:noFill/>
          </a:ln>
          <a:effectLst/>
        </c:spPr>
      </c:pivotFmt>
      <c:pivotFmt>
        <c:idx val="26"/>
        <c:spPr>
          <a:solidFill>
            <a:schemeClr val="bg2">
              <a:lumMod val="25000"/>
            </a:schemeClr>
          </a:solidFill>
          <a:ln>
            <a:noFill/>
          </a:ln>
          <a:effectLst/>
        </c:spPr>
      </c:pivotFmt>
      <c:pivotFmt>
        <c:idx val="27"/>
        <c:spPr>
          <a:solidFill>
            <a:schemeClr val="bg2">
              <a:lumMod val="50000"/>
            </a:schemeClr>
          </a:solidFill>
          <a:ln>
            <a:noFill/>
          </a:ln>
          <a:effectLst/>
        </c:spPr>
      </c:pivotFmt>
      <c:pivotFmt>
        <c:idx val="28"/>
        <c:spPr>
          <a:solidFill>
            <a:schemeClr val="bg2">
              <a:lumMod val="75000"/>
            </a:schemeClr>
          </a:solidFill>
          <a:ln>
            <a:noFill/>
          </a:ln>
          <a:effectLst/>
        </c:spPr>
      </c:pivotFmt>
      <c:pivotFmt>
        <c:idx val="29"/>
        <c:spPr>
          <a:solidFill>
            <a:schemeClr val="bg2">
              <a:lumMod val="75000"/>
            </a:schemeClr>
          </a:solidFill>
          <a:ln>
            <a:noFill/>
          </a:ln>
          <a:effectLst/>
        </c:spPr>
      </c:pivotFmt>
      <c:pivotFmt>
        <c:idx val="30"/>
        <c:spPr>
          <a:solidFill>
            <a:schemeClr val="bg2">
              <a:lumMod val="90000"/>
            </a:schemeClr>
          </a:solidFill>
          <a:ln>
            <a:noFill/>
          </a:ln>
          <a:effectLst/>
        </c:spPr>
      </c:pivotFmt>
      <c:pivotFmt>
        <c:idx val="31"/>
        <c:spPr>
          <a:solidFill>
            <a:schemeClr val="accent1"/>
          </a:solidFill>
          <a:ln w="28575" cap="rnd">
            <a:solidFill>
              <a:schemeClr val="bg2">
                <a:lumMod val="25000"/>
              </a:schemeClr>
            </a:solidFill>
            <a:round/>
          </a:ln>
          <a:effectLst/>
        </c:spPr>
        <c:marker>
          <c:symbol val="none"/>
        </c:marker>
      </c:pivotFmt>
      <c:pivotFmt>
        <c:idx val="3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bg2">
                <a:lumMod val="10000"/>
              </a:schemeClr>
            </a:solidFill>
            <a:round/>
          </a:ln>
          <a:effectLst/>
        </c:spPr>
        <c:marker>
          <c:symbol val="none"/>
        </c:marker>
      </c:pivotFmt>
      <c:pivotFmt>
        <c:idx val="34"/>
        <c:spPr>
          <a:solidFill>
            <a:schemeClr val="accent1"/>
          </a:solidFill>
          <a:ln w="28575" cap="rnd">
            <a:solidFill>
              <a:schemeClr val="bg2">
                <a:lumMod val="10000"/>
              </a:schemeClr>
            </a:solidFill>
            <a:round/>
          </a:ln>
          <a:effectLst/>
        </c:spPr>
        <c:marker>
          <c:symbol val="none"/>
        </c:marker>
      </c:pivotFmt>
      <c:pivotFmt>
        <c:idx val="35"/>
        <c:spPr>
          <a:solidFill>
            <a:schemeClr val="accent1"/>
          </a:solidFill>
          <a:ln w="28575" cap="rnd">
            <a:solidFill>
              <a:schemeClr val="bg2">
                <a:lumMod val="10000"/>
              </a:schemeClr>
            </a:solidFill>
            <a:round/>
          </a:ln>
          <a:effectLst/>
        </c:spPr>
        <c:marker>
          <c:symbol val="none"/>
        </c:marker>
      </c:pivotFmt>
      <c:pivotFmt>
        <c:idx val="36"/>
        <c:spPr>
          <a:solidFill>
            <a:schemeClr val="accent1"/>
          </a:solidFill>
          <a:ln w="28575" cap="rnd">
            <a:solidFill>
              <a:schemeClr val="bg2">
                <a:lumMod val="10000"/>
              </a:schemeClr>
            </a:solidFill>
            <a:round/>
          </a:ln>
          <a:effectLst/>
        </c:spPr>
        <c:marker>
          <c:symbol val="none"/>
        </c:marker>
      </c:pivotFmt>
      <c:pivotFmt>
        <c:idx val="37"/>
        <c:spPr>
          <a:solidFill>
            <a:schemeClr val="accent1"/>
          </a:solidFill>
          <a:ln w="28575" cap="rnd">
            <a:solidFill>
              <a:schemeClr val="bg2">
                <a:lumMod val="10000"/>
              </a:schemeClr>
            </a:solidFill>
            <a:round/>
          </a:ln>
          <a:effectLst/>
        </c:spPr>
        <c:marker>
          <c:symbol val="none"/>
        </c:marker>
      </c:pivotFmt>
      <c:pivotFmt>
        <c:idx val="38"/>
        <c:spPr>
          <a:solidFill>
            <a:schemeClr val="accent1"/>
          </a:solidFill>
          <a:ln w="28575" cap="rnd">
            <a:solidFill>
              <a:schemeClr val="bg2">
                <a:lumMod val="10000"/>
              </a:schemeClr>
            </a:solidFill>
            <a:round/>
          </a:ln>
          <a:effectLst/>
        </c:spPr>
        <c:marker>
          <c:symbol val="none"/>
        </c:marker>
      </c:pivotFmt>
      <c:pivotFmt>
        <c:idx val="39"/>
        <c:spPr>
          <a:solidFill>
            <a:schemeClr val="accent1"/>
          </a:solidFill>
          <a:ln w="28575" cap="rnd">
            <a:solidFill>
              <a:schemeClr val="bg2">
                <a:lumMod val="10000"/>
              </a:schemeClr>
            </a:solidFill>
            <a:round/>
          </a:ln>
          <a:effectLst/>
        </c:spPr>
        <c:marker>
          <c:symbol val="none"/>
        </c:marker>
      </c:pivotFmt>
      <c:pivotFmt>
        <c:idx val="40"/>
        <c:spPr>
          <a:solidFill>
            <a:schemeClr val="accent1"/>
          </a:solidFill>
          <a:ln w="28575" cap="rnd">
            <a:solidFill>
              <a:schemeClr val="bg2">
                <a:lumMod val="10000"/>
              </a:schemeClr>
            </a:solidFill>
            <a:round/>
          </a:ln>
          <a:effectLst/>
        </c:spPr>
        <c:marker>
          <c:symbol val="none"/>
        </c:marker>
      </c:pivotFmt>
      <c:pivotFmt>
        <c:idx val="41"/>
        <c:spPr>
          <a:ln w="28575" cap="rnd">
            <a:solidFill>
              <a:schemeClr val="accent5">
                <a:lumMod val="50000"/>
              </a:schemeClr>
            </a:solidFill>
            <a:round/>
          </a:ln>
          <a:effectLst/>
        </c:spPr>
        <c:marker>
          <c:symbol val="none"/>
        </c:marker>
      </c:pivotFmt>
      <c:pivotFmt>
        <c:idx val="42"/>
        <c:spPr>
          <a:ln w="28575" cap="rnd">
            <a:solidFill>
              <a:schemeClr val="accent5">
                <a:lumMod val="50000"/>
              </a:schemeClr>
            </a:solidFill>
            <a:round/>
          </a:ln>
          <a:effectLst/>
        </c:spPr>
        <c:marker>
          <c:symbol val="none"/>
        </c:marker>
      </c:pivotFmt>
      <c:pivotFmt>
        <c:idx val="43"/>
        <c:spPr>
          <a:ln w="28575" cap="rnd">
            <a:solidFill>
              <a:schemeClr val="accent5">
                <a:lumMod val="50000"/>
              </a:schemeClr>
            </a:solidFill>
            <a:round/>
          </a:ln>
          <a:effectLst/>
        </c:spPr>
        <c:marker>
          <c:symbol val="none"/>
        </c:marker>
      </c:pivotFmt>
      <c:pivotFmt>
        <c:idx val="44"/>
        <c:spPr>
          <a:ln w="28575" cap="rnd">
            <a:solidFill>
              <a:schemeClr val="accent5">
                <a:lumMod val="50000"/>
              </a:schemeClr>
            </a:solidFill>
            <a:round/>
          </a:ln>
          <a:effectLst/>
        </c:spPr>
        <c:marker>
          <c:symbol val="none"/>
        </c:marker>
      </c:pivotFmt>
      <c:pivotFmt>
        <c:idx val="45"/>
        <c:spPr>
          <a:ln w="28575" cap="rnd">
            <a:solidFill>
              <a:schemeClr val="accent5">
                <a:lumMod val="50000"/>
              </a:schemeClr>
            </a:solidFill>
            <a:round/>
          </a:ln>
          <a:effectLst/>
        </c:spPr>
        <c:marker>
          <c:symbol val="none"/>
        </c:marker>
      </c:pivotFmt>
      <c:pivotFmt>
        <c:idx val="46"/>
        <c:spPr>
          <a:ln w="28575" cap="rnd">
            <a:solidFill>
              <a:schemeClr val="accent5">
                <a:lumMod val="50000"/>
              </a:schemeClr>
            </a:solidFill>
            <a:round/>
          </a:ln>
          <a:effectLst/>
        </c:spPr>
        <c:marker>
          <c:symbol val="none"/>
        </c:marker>
      </c:pivotFmt>
      <c:pivotFmt>
        <c:idx val="47"/>
        <c:spPr>
          <a:ln w="28575" cap="rnd">
            <a:solidFill>
              <a:schemeClr val="accent5">
                <a:lumMod val="50000"/>
              </a:schemeClr>
            </a:solidFill>
            <a:round/>
          </a:ln>
          <a:effectLst/>
        </c:spPr>
        <c:marker>
          <c:symbol val="none"/>
        </c:marker>
      </c:pivotFmt>
      <c:pivotFmt>
        <c:idx val="48"/>
        <c:spPr>
          <a:ln w="28575" cap="rnd">
            <a:solidFill>
              <a:schemeClr val="accent5">
                <a:lumMod val="50000"/>
              </a:schemeClr>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41BD-4F61-B1FE-F7B656357AD4}"/>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41BD-4F61-B1FE-F7B656357AD4}"/>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41BD-4F61-B1FE-F7B656357AD4}"/>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41BD-4F61-B1FE-F7B656357AD4}"/>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41BD-4F61-B1FE-F7B656357AD4}"/>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41BD-4F61-B1FE-F7B656357AD4}"/>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C-41BD-4F61-B1FE-F7B656357AD4}"/>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41BD-4F61-B1FE-F7B656357A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E-41BD-4F61-B1FE-F7B656357AD4}"/>
            </c:ext>
          </c:extLst>
        </c:ser>
        <c:dLbls>
          <c:dLblPos val="r"/>
          <c:showLegendKey val="0"/>
          <c:showVal val="1"/>
          <c:showCatName val="0"/>
          <c:showSerName val="0"/>
          <c:showPercent val="0"/>
          <c:showBubbleSize val="0"/>
        </c:dLbls>
        <c:smooth val="0"/>
        <c:axId val="757913392"/>
        <c:axId val="757907152"/>
      </c:lineChart>
      <c:catAx>
        <c:axId val="7579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07152"/>
        <c:crosses val="autoZero"/>
        <c:auto val="1"/>
        <c:lblAlgn val="ctr"/>
        <c:lblOffset val="100"/>
        <c:noMultiLvlLbl val="0"/>
      </c:catAx>
      <c:valAx>
        <c:axId val="757907152"/>
        <c:scaling>
          <c:orientation val="minMax"/>
        </c:scaling>
        <c:delete val="1"/>
        <c:axPos val="l"/>
        <c:numFmt formatCode="&quot;$&quot;#,##0" sourceLinked="1"/>
        <c:majorTickMark val="none"/>
        <c:minorTickMark val="none"/>
        <c:tickLblPos val="nextTo"/>
        <c:crossAx val="75791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ANALYSIS.xlsx]Transaction by Amount!PivotTable2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Transaction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bg2">
              <a:lumMod val="10000"/>
            </a:schemeClr>
          </a:solidFill>
          <a:ln>
            <a:noFill/>
          </a:ln>
          <a:effectLst/>
        </c:spPr>
      </c:pivotFmt>
      <c:pivotFmt>
        <c:idx val="19"/>
        <c:spPr>
          <a:solidFill>
            <a:schemeClr val="bg2">
              <a:lumMod val="25000"/>
            </a:schemeClr>
          </a:solidFill>
          <a:ln>
            <a:noFill/>
          </a:ln>
          <a:effectLst/>
        </c:spPr>
      </c:pivotFmt>
      <c:pivotFmt>
        <c:idx val="20"/>
        <c:spPr>
          <a:solidFill>
            <a:schemeClr val="bg2">
              <a:lumMod val="50000"/>
            </a:schemeClr>
          </a:solidFill>
          <a:ln>
            <a:noFill/>
          </a:ln>
          <a:effectLst/>
        </c:spPr>
      </c:pivotFmt>
      <c:pivotFmt>
        <c:idx val="21"/>
        <c:spPr>
          <a:solidFill>
            <a:schemeClr val="bg2">
              <a:lumMod val="75000"/>
            </a:schemeClr>
          </a:solidFill>
          <a:ln>
            <a:noFill/>
          </a:ln>
          <a:effectLst/>
        </c:spPr>
      </c:pivotFmt>
      <c:pivotFmt>
        <c:idx val="22"/>
        <c:spPr>
          <a:solidFill>
            <a:schemeClr val="bg2">
              <a:lumMod val="75000"/>
            </a:schemeClr>
          </a:solidFill>
          <a:ln>
            <a:noFill/>
          </a:ln>
          <a:effectLst/>
        </c:spPr>
      </c:pivotFmt>
      <c:pivotFmt>
        <c:idx val="23"/>
        <c:spPr>
          <a:solidFill>
            <a:schemeClr val="bg2">
              <a:lumMod val="9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2">
              <a:lumMod val="10000"/>
            </a:schemeClr>
          </a:solidFill>
          <a:ln>
            <a:noFill/>
          </a:ln>
          <a:effectLst/>
        </c:spPr>
      </c:pivotFmt>
      <c:pivotFmt>
        <c:idx val="26"/>
        <c:spPr>
          <a:solidFill>
            <a:schemeClr val="bg2">
              <a:lumMod val="25000"/>
            </a:schemeClr>
          </a:solidFill>
          <a:ln>
            <a:noFill/>
          </a:ln>
          <a:effectLst/>
        </c:spPr>
      </c:pivotFmt>
      <c:pivotFmt>
        <c:idx val="27"/>
        <c:spPr>
          <a:solidFill>
            <a:schemeClr val="bg2">
              <a:lumMod val="50000"/>
            </a:schemeClr>
          </a:solidFill>
          <a:ln>
            <a:noFill/>
          </a:ln>
          <a:effectLst/>
        </c:spPr>
      </c:pivotFmt>
      <c:pivotFmt>
        <c:idx val="28"/>
        <c:spPr>
          <a:solidFill>
            <a:schemeClr val="bg2">
              <a:lumMod val="75000"/>
            </a:schemeClr>
          </a:solidFill>
          <a:ln>
            <a:noFill/>
          </a:ln>
          <a:effectLst/>
        </c:spPr>
      </c:pivotFmt>
      <c:pivotFmt>
        <c:idx val="29"/>
        <c:spPr>
          <a:solidFill>
            <a:schemeClr val="bg2">
              <a:lumMod val="75000"/>
            </a:schemeClr>
          </a:solidFill>
          <a:ln>
            <a:noFill/>
          </a:ln>
          <a:effectLst/>
        </c:spPr>
      </c:pivotFmt>
      <c:pivotFmt>
        <c:idx val="30"/>
        <c:spPr>
          <a:solidFill>
            <a:schemeClr val="bg2">
              <a:lumMod val="90000"/>
            </a:schemeClr>
          </a:solidFill>
          <a:ln>
            <a:noFill/>
          </a:ln>
          <a:effectLst/>
        </c:spPr>
      </c:pivotFmt>
      <c:pivotFmt>
        <c:idx val="31"/>
        <c:spPr>
          <a:solidFill>
            <a:schemeClr val="accent1"/>
          </a:solidFill>
          <a:ln w="28575" cap="rnd">
            <a:solidFill>
              <a:schemeClr val="bg2">
                <a:lumMod val="25000"/>
              </a:schemeClr>
            </a:solidFill>
            <a:round/>
          </a:ln>
          <a:effectLst/>
        </c:spPr>
        <c:marker>
          <c:symbol val="none"/>
        </c:marker>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75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40000"/>
              <a:lumOff val="60000"/>
            </a:schemeClr>
          </a:solidFill>
          <a:ln>
            <a:noFill/>
          </a:ln>
          <a:effectLst/>
        </c:spPr>
      </c:pivotFmt>
      <c:pivotFmt>
        <c:idx val="47"/>
        <c:spPr>
          <a:solidFill>
            <a:schemeClr val="accent1"/>
          </a:solidFill>
          <a:ln>
            <a:noFill/>
          </a:ln>
          <a:effectLst/>
        </c:spPr>
      </c:pivotFmt>
      <c:pivotFmt>
        <c:idx val="48"/>
        <c:spPr>
          <a:solidFill>
            <a:schemeClr val="accent5">
              <a:lumMod val="50000"/>
            </a:schemeClr>
          </a:solidFill>
          <a:ln>
            <a:noFill/>
          </a:ln>
          <a:effectLst/>
        </c:spPr>
      </c:pivotFmt>
      <c:pivotFmt>
        <c:idx val="49"/>
        <c:spPr>
          <a:solidFill>
            <a:schemeClr val="accent1"/>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0-CD07-404E-BD24-7A3AFF08704A}"/>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CD07-404E-BD24-7A3AFF08704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CD07-404E-BD24-7A3AFF08704A}"/>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CD07-404E-BD24-7A3AFF08704A}"/>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CD07-404E-BD24-7A3AFF08704A}"/>
              </c:ext>
            </c:extLst>
          </c:dPt>
          <c:dPt>
            <c:idx val="5"/>
            <c:invertIfNegative val="0"/>
            <c:bubble3D val="0"/>
            <c:extLst>
              <c:ext xmlns:c16="http://schemas.microsoft.com/office/drawing/2014/chart" uri="{C3380CC4-5D6E-409C-BE32-E72D297353CC}">
                <c16:uniqueId val="{00000005-CD07-404E-BD24-7A3AFF08704A}"/>
              </c:ext>
            </c:extLst>
          </c:dPt>
          <c:dPt>
            <c:idx val="6"/>
            <c:invertIfNegative val="0"/>
            <c:bubble3D val="0"/>
            <c:extLst>
              <c:ext xmlns:c16="http://schemas.microsoft.com/office/drawing/2014/chart" uri="{C3380CC4-5D6E-409C-BE32-E72D297353CC}">
                <c16:uniqueId val="{00000006-CD07-404E-BD24-7A3AFF08704A}"/>
              </c:ext>
            </c:extLst>
          </c:dPt>
          <c:dPt>
            <c:idx val="7"/>
            <c:invertIfNegative val="0"/>
            <c:bubble3D val="0"/>
            <c:extLst>
              <c:ext xmlns:c16="http://schemas.microsoft.com/office/drawing/2014/chart" uri="{C3380CC4-5D6E-409C-BE32-E72D297353CC}">
                <c16:uniqueId val="{00000007-CD07-404E-BD24-7A3AFF0870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8-CD07-404E-BD24-7A3AFF08704A}"/>
            </c:ext>
          </c:extLst>
        </c:ser>
        <c:dLbls>
          <c:dLblPos val="outEnd"/>
          <c:showLegendKey val="0"/>
          <c:showVal val="1"/>
          <c:showCatName val="0"/>
          <c:showSerName val="0"/>
          <c:showPercent val="0"/>
          <c:showBubbleSize val="0"/>
        </c:dLbls>
        <c:gapWidth val="20"/>
        <c:axId val="757913392"/>
        <c:axId val="757907152"/>
      </c:barChart>
      <c:catAx>
        <c:axId val="7579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07152"/>
        <c:crosses val="autoZero"/>
        <c:auto val="1"/>
        <c:lblAlgn val="ctr"/>
        <c:lblOffset val="100"/>
        <c:noMultiLvlLbl val="0"/>
      </c:catAx>
      <c:valAx>
        <c:axId val="757907152"/>
        <c:scaling>
          <c:orientation val="minMax"/>
        </c:scaling>
        <c:delete val="1"/>
        <c:axPos val="l"/>
        <c:numFmt formatCode="General" sourceLinked="1"/>
        <c:majorTickMark val="none"/>
        <c:minorTickMark val="none"/>
        <c:tickLblPos val="nextTo"/>
        <c:crossAx val="75791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6 Ship Cities!PivotTable2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 6 Ship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bg2">
              <a:lumMod val="10000"/>
            </a:schemeClr>
          </a:solidFill>
          <a:ln>
            <a:noFill/>
          </a:ln>
          <a:effectLst/>
        </c:spPr>
      </c:pivotFmt>
      <c:pivotFmt>
        <c:idx val="19"/>
        <c:spPr>
          <a:solidFill>
            <a:schemeClr val="bg2">
              <a:lumMod val="25000"/>
            </a:schemeClr>
          </a:solidFill>
          <a:ln>
            <a:noFill/>
          </a:ln>
          <a:effectLst/>
        </c:spPr>
      </c:pivotFmt>
      <c:pivotFmt>
        <c:idx val="20"/>
        <c:spPr>
          <a:solidFill>
            <a:schemeClr val="bg2">
              <a:lumMod val="50000"/>
            </a:schemeClr>
          </a:solidFill>
          <a:ln>
            <a:noFill/>
          </a:ln>
          <a:effectLst/>
        </c:spPr>
      </c:pivotFmt>
      <c:pivotFmt>
        <c:idx val="21"/>
        <c:spPr>
          <a:solidFill>
            <a:schemeClr val="bg2">
              <a:lumMod val="75000"/>
            </a:schemeClr>
          </a:solidFill>
          <a:ln>
            <a:noFill/>
          </a:ln>
          <a:effectLst/>
        </c:spPr>
      </c:pivotFmt>
      <c:pivotFmt>
        <c:idx val="22"/>
        <c:spPr>
          <a:solidFill>
            <a:schemeClr val="bg2">
              <a:lumMod val="75000"/>
            </a:schemeClr>
          </a:solidFill>
          <a:ln>
            <a:noFill/>
          </a:ln>
          <a:effectLst/>
        </c:spPr>
      </c:pivotFmt>
      <c:pivotFmt>
        <c:idx val="23"/>
        <c:spPr>
          <a:solidFill>
            <a:schemeClr val="bg2">
              <a:lumMod val="9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2">
              <a:lumMod val="10000"/>
            </a:schemeClr>
          </a:solidFill>
          <a:ln>
            <a:noFill/>
          </a:ln>
          <a:effectLst/>
        </c:spPr>
      </c:pivotFmt>
      <c:pivotFmt>
        <c:idx val="26"/>
        <c:spPr>
          <a:solidFill>
            <a:schemeClr val="bg2">
              <a:lumMod val="25000"/>
            </a:schemeClr>
          </a:solidFill>
          <a:ln>
            <a:noFill/>
          </a:ln>
          <a:effectLst/>
        </c:spPr>
      </c:pivotFmt>
      <c:pivotFmt>
        <c:idx val="27"/>
        <c:spPr>
          <a:solidFill>
            <a:schemeClr val="bg2">
              <a:lumMod val="50000"/>
            </a:schemeClr>
          </a:solidFill>
          <a:ln>
            <a:noFill/>
          </a:ln>
          <a:effectLst/>
        </c:spPr>
      </c:pivotFmt>
      <c:pivotFmt>
        <c:idx val="28"/>
        <c:spPr>
          <a:solidFill>
            <a:schemeClr val="bg2">
              <a:lumMod val="75000"/>
            </a:schemeClr>
          </a:solidFill>
          <a:ln>
            <a:noFill/>
          </a:ln>
          <a:effectLst/>
        </c:spPr>
      </c:pivotFmt>
      <c:pivotFmt>
        <c:idx val="29"/>
        <c:spPr>
          <a:solidFill>
            <a:schemeClr val="bg2">
              <a:lumMod val="75000"/>
            </a:schemeClr>
          </a:solidFill>
          <a:ln>
            <a:noFill/>
          </a:ln>
          <a:effectLst/>
        </c:spPr>
      </c:pivotFmt>
      <c:pivotFmt>
        <c:idx val="30"/>
        <c:spPr>
          <a:solidFill>
            <a:schemeClr val="bg2">
              <a:lumMod val="90000"/>
            </a:schemeClr>
          </a:solidFill>
          <a:ln>
            <a:noFill/>
          </a:ln>
          <a:effectLst/>
        </c:spPr>
      </c:pivotFmt>
      <c:pivotFmt>
        <c:idx val="31"/>
        <c:spPr>
          <a:solidFill>
            <a:schemeClr val="accent1"/>
          </a:solidFill>
          <a:ln w="28575" cap="rnd">
            <a:solidFill>
              <a:schemeClr val="bg2">
                <a:lumMod val="25000"/>
              </a:schemeClr>
            </a:solidFill>
            <a:round/>
          </a:ln>
          <a:effectLst/>
        </c:spPr>
        <c:marker>
          <c:symbol val="none"/>
        </c:marker>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bg2">
              <a:lumMod val="50000"/>
            </a:schemeClr>
          </a:solidFill>
          <a:ln>
            <a:noFill/>
          </a:ln>
          <a:effectLst/>
        </c:spPr>
      </c:pivotFmt>
      <c:pivotFmt>
        <c:idx val="44"/>
        <c:spPr>
          <a:solidFill>
            <a:schemeClr val="bg2">
              <a:lumMod val="50000"/>
            </a:schemeClr>
          </a:solidFill>
          <a:ln>
            <a:noFill/>
          </a:ln>
          <a:effectLst/>
        </c:spPr>
      </c:pivotFmt>
      <c:pivotFmt>
        <c:idx val="45"/>
        <c:spPr>
          <a:solidFill>
            <a:schemeClr val="bg2">
              <a:lumMod val="75000"/>
            </a:schemeClr>
          </a:solidFill>
          <a:ln>
            <a:noFill/>
          </a:ln>
          <a:effectLst/>
        </c:spPr>
      </c:pivotFmt>
      <c:pivotFmt>
        <c:idx val="46"/>
        <c:spPr>
          <a:solidFill>
            <a:schemeClr val="bg2">
              <a:lumMod val="75000"/>
            </a:schemeClr>
          </a:solidFill>
          <a:ln>
            <a:noFill/>
          </a:ln>
          <a:effectLst/>
        </c:spPr>
      </c:pivotFmt>
      <c:pivotFmt>
        <c:idx val="47"/>
        <c:spPr>
          <a:solidFill>
            <a:schemeClr val="bg2">
              <a:lumMod val="90000"/>
            </a:schemeClr>
          </a:solidFill>
          <a:ln>
            <a:noFill/>
          </a:ln>
          <a:effectLst/>
        </c:spPr>
      </c:pivotFmt>
      <c:pivotFmt>
        <c:idx val="48"/>
        <c:spPr>
          <a:solidFill>
            <a:schemeClr val="bg2">
              <a:lumMod val="1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bg2">
              <a:lumMod val="10000"/>
            </a:schemeClr>
          </a:solidFill>
          <a:ln>
            <a:noFill/>
          </a:ln>
          <a:effectLst/>
        </c:spPr>
      </c:pivotFmt>
      <c:pivotFmt>
        <c:idx val="51"/>
        <c:spPr>
          <a:solidFill>
            <a:schemeClr val="bg2">
              <a:lumMod val="50000"/>
            </a:schemeClr>
          </a:solidFill>
          <a:ln>
            <a:noFill/>
          </a:ln>
          <a:effectLst/>
        </c:spPr>
      </c:pivotFmt>
      <c:pivotFmt>
        <c:idx val="52"/>
        <c:spPr>
          <a:solidFill>
            <a:schemeClr val="bg2">
              <a:lumMod val="50000"/>
            </a:schemeClr>
          </a:solidFill>
          <a:ln>
            <a:noFill/>
          </a:ln>
          <a:effectLst/>
        </c:spPr>
      </c:pivotFmt>
      <c:pivotFmt>
        <c:idx val="53"/>
        <c:spPr>
          <a:solidFill>
            <a:schemeClr val="bg2">
              <a:lumMod val="75000"/>
            </a:schemeClr>
          </a:solidFill>
          <a:ln>
            <a:noFill/>
          </a:ln>
          <a:effectLst/>
        </c:spPr>
      </c:pivotFmt>
      <c:pivotFmt>
        <c:idx val="54"/>
        <c:spPr>
          <a:solidFill>
            <a:schemeClr val="bg2">
              <a:lumMod val="75000"/>
            </a:schemeClr>
          </a:solidFill>
          <a:ln>
            <a:noFill/>
          </a:ln>
          <a:effectLst/>
        </c:spPr>
      </c:pivotFmt>
      <c:pivotFmt>
        <c:idx val="55"/>
        <c:spPr>
          <a:solidFill>
            <a:schemeClr val="bg2">
              <a:lumMod val="9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lumMod val="75000"/>
            </a:schemeClr>
          </a:solidFill>
          <a:ln>
            <a:noFill/>
          </a:ln>
          <a:effectLst/>
        </c:spPr>
      </c:pivotFmt>
      <c:pivotFmt>
        <c:idx val="60"/>
        <c:spPr>
          <a:solidFill>
            <a:schemeClr val="accent5">
              <a:lumMod val="75000"/>
            </a:schemeClr>
          </a:solidFill>
          <a:ln>
            <a:noFill/>
          </a:ln>
          <a:effectLst/>
        </c:spPr>
      </c:pivotFmt>
      <c:pivotFmt>
        <c:idx val="61"/>
        <c:spPr>
          <a:solidFill>
            <a:schemeClr val="accent5">
              <a:lumMod val="60000"/>
              <a:lumOff val="40000"/>
            </a:schemeClr>
          </a:solidFill>
          <a:ln>
            <a:noFill/>
          </a:ln>
          <a:effectLst/>
        </c:spPr>
      </c:pivotFmt>
      <c:pivotFmt>
        <c:idx val="62"/>
        <c:spPr>
          <a:solidFill>
            <a:schemeClr val="accent5">
              <a:lumMod val="40000"/>
              <a:lumOff val="60000"/>
            </a:schemeClr>
          </a:solidFill>
          <a:ln>
            <a:noFill/>
          </a:ln>
          <a:effectLst/>
        </c:spPr>
      </c:pivotFmt>
      <c:pivotFmt>
        <c:idx val="63"/>
        <c:spPr>
          <a:solidFill>
            <a:schemeClr val="accent5">
              <a:lumMod val="20000"/>
              <a:lumOff val="80000"/>
            </a:schemeClr>
          </a:solidFill>
          <a:ln>
            <a:noFill/>
          </a:ln>
          <a:effectLst/>
        </c:spPr>
      </c:pivotFmt>
      <c:pivotFmt>
        <c:idx val="64"/>
        <c:spPr>
          <a:solidFill>
            <a:schemeClr val="accent5">
              <a:lumMod val="50000"/>
            </a:schemeClr>
          </a:solidFill>
          <a:ln>
            <a:noFill/>
          </a:ln>
          <a:effectLst/>
        </c:spPr>
      </c:pivotFmt>
    </c:pivotFmts>
    <c:plotArea>
      <c:layout/>
      <c:barChart>
        <c:barDir val="bar"/>
        <c:grouping val="clustered"/>
        <c:varyColors val="0"/>
        <c:ser>
          <c:idx val="0"/>
          <c:order val="0"/>
          <c:tx>
            <c:strRef>
              <c:f>'Top 6 Ship Cities'!$B$3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0-B357-4F51-9F0B-FD4647F49B9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B357-4F51-9F0B-FD4647F49B9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2-B357-4F51-9F0B-FD4647F49B9E}"/>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B357-4F51-9F0B-FD4647F49B9E}"/>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B357-4F51-9F0B-FD4647F49B9E}"/>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B357-4F51-9F0B-FD4647F49B9E}"/>
              </c:ext>
            </c:extLst>
          </c:dPt>
          <c:dPt>
            <c:idx val="6"/>
            <c:invertIfNegative val="0"/>
            <c:bubble3D val="0"/>
            <c:extLst>
              <c:ext xmlns:c16="http://schemas.microsoft.com/office/drawing/2014/chart" uri="{C3380CC4-5D6E-409C-BE32-E72D297353CC}">
                <c16:uniqueId val="{00000006-B357-4F51-9F0B-FD4647F49B9E}"/>
              </c:ext>
            </c:extLst>
          </c:dPt>
          <c:dPt>
            <c:idx val="7"/>
            <c:invertIfNegative val="0"/>
            <c:bubble3D val="0"/>
            <c:extLst>
              <c:ext xmlns:c16="http://schemas.microsoft.com/office/drawing/2014/chart" uri="{C3380CC4-5D6E-409C-BE32-E72D297353CC}">
                <c16:uniqueId val="{00000007-B357-4F51-9F0B-FD4647F49B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Cities'!$A$4:$A$10</c:f>
              <c:strCache>
                <c:ptCount val="6"/>
                <c:pt idx="0">
                  <c:v>New York</c:v>
                </c:pt>
                <c:pt idx="1">
                  <c:v>Portland</c:v>
                </c:pt>
                <c:pt idx="2">
                  <c:v>Miami</c:v>
                </c:pt>
                <c:pt idx="3">
                  <c:v>Memphis</c:v>
                </c:pt>
                <c:pt idx="4">
                  <c:v>Chicago</c:v>
                </c:pt>
                <c:pt idx="5">
                  <c:v>Milwaukee</c:v>
                </c:pt>
              </c:strCache>
            </c:strRef>
          </c:cat>
          <c:val>
            <c:numRef>
              <c:f>'Top 6 Ship Cities'!$B$4:$B$10</c:f>
              <c:numCache>
                <c:formatCode>_("$"* #,##0.00_);_("$"* \(#,##0.00\);_("$"* "-"??_);_(@_)</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8-B357-4F51-9F0B-FD4647F49B9E}"/>
            </c:ext>
          </c:extLst>
        </c:ser>
        <c:dLbls>
          <c:dLblPos val="outEnd"/>
          <c:showLegendKey val="0"/>
          <c:showVal val="1"/>
          <c:showCatName val="0"/>
          <c:showSerName val="0"/>
          <c:showPercent val="0"/>
          <c:showBubbleSize val="0"/>
        </c:dLbls>
        <c:gapWidth val="20"/>
        <c:axId val="757913392"/>
        <c:axId val="757907152"/>
      </c:barChart>
      <c:catAx>
        <c:axId val="7579133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07152"/>
        <c:crosses val="autoZero"/>
        <c:auto val="1"/>
        <c:lblAlgn val="ctr"/>
        <c:lblOffset val="100"/>
        <c:noMultiLvlLbl val="0"/>
      </c:catAx>
      <c:valAx>
        <c:axId val="757907152"/>
        <c:scaling>
          <c:orientation val="minMax"/>
        </c:scaling>
        <c:delete val="1"/>
        <c:axPos val="t"/>
        <c:numFmt formatCode="_(&quot;$&quot;* #,##0.00_);_(&quot;$&quot;* \(#,##0.00\);_(&quot;$&quot;* &quot;-&quot;??_);_(@_)" sourceLinked="1"/>
        <c:majorTickMark val="none"/>
        <c:minorTickMark val="none"/>
        <c:tickLblPos val="nextTo"/>
        <c:crossAx val="75791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5 Cities by Revenue!PivotTable2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 5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bg2">
              <a:lumMod val="10000"/>
            </a:schemeClr>
          </a:solidFill>
          <a:ln>
            <a:noFill/>
          </a:ln>
          <a:effectLst/>
        </c:spPr>
      </c:pivotFmt>
      <c:pivotFmt>
        <c:idx val="19"/>
        <c:spPr>
          <a:solidFill>
            <a:schemeClr val="bg2">
              <a:lumMod val="25000"/>
            </a:schemeClr>
          </a:solidFill>
          <a:ln>
            <a:noFill/>
          </a:ln>
          <a:effectLst/>
        </c:spPr>
      </c:pivotFmt>
      <c:pivotFmt>
        <c:idx val="20"/>
        <c:spPr>
          <a:solidFill>
            <a:schemeClr val="bg2">
              <a:lumMod val="50000"/>
            </a:schemeClr>
          </a:solidFill>
          <a:ln>
            <a:noFill/>
          </a:ln>
          <a:effectLst/>
        </c:spPr>
      </c:pivotFmt>
      <c:pivotFmt>
        <c:idx val="21"/>
        <c:spPr>
          <a:solidFill>
            <a:schemeClr val="bg2">
              <a:lumMod val="75000"/>
            </a:schemeClr>
          </a:solidFill>
          <a:ln>
            <a:noFill/>
          </a:ln>
          <a:effectLst/>
        </c:spPr>
      </c:pivotFmt>
      <c:pivotFmt>
        <c:idx val="22"/>
        <c:spPr>
          <a:solidFill>
            <a:schemeClr val="bg2">
              <a:lumMod val="75000"/>
            </a:schemeClr>
          </a:solidFill>
          <a:ln>
            <a:noFill/>
          </a:ln>
          <a:effectLst/>
        </c:spPr>
      </c:pivotFmt>
      <c:pivotFmt>
        <c:idx val="23"/>
        <c:spPr>
          <a:solidFill>
            <a:schemeClr val="bg2">
              <a:lumMod val="9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2">
              <a:lumMod val="10000"/>
            </a:schemeClr>
          </a:solidFill>
          <a:ln>
            <a:noFill/>
          </a:ln>
          <a:effectLst/>
        </c:spPr>
      </c:pivotFmt>
      <c:pivotFmt>
        <c:idx val="26"/>
        <c:spPr>
          <a:solidFill>
            <a:schemeClr val="bg2">
              <a:lumMod val="25000"/>
            </a:schemeClr>
          </a:solidFill>
          <a:ln>
            <a:noFill/>
          </a:ln>
          <a:effectLst/>
        </c:spPr>
      </c:pivotFmt>
      <c:pivotFmt>
        <c:idx val="27"/>
        <c:spPr>
          <a:solidFill>
            <a:schemeClr val="bg2">
              <a:lumMod val="50000"/>
            </a:schemeClr>
          </a:solidFill>
          <a:ln>
            <a:noFill/>
          </a:ln>
          <a:effectLst/>
        </c:spPr>
      </c:pivotFmt>
      <c:pivotFmt>
        <c:idx val="28"/>
        <c:spPr>
          <a:solidFill>
            <a:schemeClr val="bg2">
              <a:lumMod val="75000"/>
            </a:schemeClr>
          </a:solidFill>
          <a:ln>
            <a:noFill/>
          </a:ln>
          <a:effectLst/>
        </c:spPr>
      </c:pivotFmt>
      <c:pivotFmt>
        <c:idx val="29"/>
        <c:spPr>
          <a:solidFill>
            <a:schemeClr val="bg2">
              <a:lumMod val="75000"/>
            </a:schemeClr>
          </a:solidFill>
          <a:ln>
            <a:noFill/>
          </a:ln>
          <a:effectLst/>
        </c:spPr>
      </c:pivotFmt>
      <c:pivotFmt>
        <c:idx val="30"/>
        <c:spPr>
          <a:solidFill>
            <a:schemeClr val="bg2">
              <a:lumMod val="90000"/>
            </a:schemeClr>
          </a:solidFill>
          <a:ln>
            <a:noFill/>
          </a:ln>
          <a:effectLst/>
        </c:spPr>
      </c:pivotFmt>
      <c:pivotFmt>
        <c:idx val="31"/>
        <c:spPr>
          <a:solidFill>
            <a:schemeClr val="accent1"/>
          </a:solidFill>
          <a:ln w="28575" cap="rnd">
            <a:solidFill>
              <a:schemeClr val="bg2">
                <a:lumMod val="25000"/>
              </a:schemeClr>
            </a:solidFill>
            <a:round/>
          </a:ln>
          <a:effectLst/>
        </c:spPr>
        <c:marker>
          <c:symbol val="none"/>
        </c:marker>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bg2">
              <a:lumMod val="50000"/>
            </a:schemeClr>
          </a:solidFill>
          <a:ln>
            <a:noFill/>
          </a:ln>
          <a:effectLst/>
        </c:spPr>
      </c:pivotFmt>
      <c:pivotFmt>
        <c:idx val="44"/>
        <c:spPr>
          <a:solidFill>
            <a:schemeClr val="bg2">
              <a:lumMod val="50000"/>
            </a:schemeClr>
          </a:solidFill>
          <a:ln>
            <a:noFill/>
          </a:ln>
          <a:effectLst/>
        </c:spPr>
      </c:pivotFmt>
      <c:pivotFmt>
        <c:idx val="45"/>
        <c:spPr>
          <a:solidFill>
            <a:schemeClr val="bg2">
              <a:lumMod val="75000"/>
            </a:schemeClr>
          </a:solidFill>
          <a:ln>
            <a:noFill/>
          </a:ln>
          <a:effectLst/>
        </c:spPr>
      </c:pivotFmt>
      <c:pivotFmt>
        <c:idx val="46"/>
        <c:spPr>
          <a:solidFill>
            <a:schemeClr val="bg2">
              <a:lumMod val="75000"/>
            </a:schemeClr>
          </a:solidFill>
          <a:ln>
            <a:noFill/>
          </a:ln>
          <a:effectLst/>
        </c:spPr>
      </c:pivotFmt>
      <c:pivotFmt>
        <c:idx val="47"/>
        <c:spPr>
          <a:solidFill>
            <a:schemeClr val="bg2">
              <a:lumMod val="90000"/>
            </a:schemeClr>
          </a:solidFill>
          <a:ln>
            <a:noFill/>
          </a:ln>
          <a:effectLst/>
        </c:spPr>
      </c:pivotFmt>
      <c:pivotFmt>
        <c:idx val="48"/>
        <c:spPr>
          <a:solidFill>
            <a:schemeClr val="bg2">
              <a:lumMod val="1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bg2">
              <a:lumMod val="10000"/>
            </a:schemeClr>
          </a:solidFill>
          <a:ln>
            <a:noFill/>
          </a:ln>
          <a:effectLst/>
        </c:spPr>
      </c:pivotFmt>
      <c:pivotFmt>
        <c:idx val="51"/>
        <c:spPr>
          <a:solidFill>
            <a:schemeClr val="bg2">
              <a:lumMod val="50000"/>
            </a:schemeClr>
          </a:solidFill>
          <a:ln>
            <a:noFill/>
          </a:ln>
          <a:effectLst/>
        </c:spPr>
      </c:pivotFmt>
      <c:pivotFmt>
        <c:idx val="52"/>
        <c:spPr>
          <a:solidFill>
            <a:schemeClr val="bg2">
              <a:lumMod val="50000"/>
            </a:schemeClr>
          </a:solidFill>
          <a:ln>
            <a:noFill/>
          </a:ln>
          <a:effectLst/>
        </c:spPr>
      </c:pivotFmt>
      <c:pivotFmt>
        <c:idx val="53"/>
        <c:spPr>
          <a:solidFill>
            <a:schemeClr val="bg2">
              <a:lumMod val="75000"/>
            </a:schemeClr>
          </a:solidFill>
          <a:ln>
            <a:noFill/>
          </a:ln>
          <a:effectLst/>
        </c:spPr>
      </c:pivotFmt>
      <c:pivotFmt>
        <c:idx val="54"/>
        <c:spPr>
          <a:solidFill>
            <a:schemeClr val="bg2">
              <a:lumMod val="75000"/>
            </a:schemeClr>
          </a:solidFill>
          <a:ln>
            <a:noFill/>
          </a:ln>
          <a:effectLst/>
        </c:spPr>
      </c:pivotFmt>
      <c:pivotFmt>
        <c:idx val="55"/>
        <c:spPr>
          <a:solidFill>
            <a:schemeClr val="bg2">
              <a:lumMod val="90000"/>
            </a:schemeClr>
          </a:solidFill>
          <a:ln>
            <a:noFill/>
          </a:ln>
          <a:effectLst/>
        </c:spPr>
      </c:pivotFmt>
      <c:pivotFmt>
        <c:idx val="56"/>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pivotFmt>
      <c:pivotFmt>
        <c:idx val="58"/>
      </c:pivotFmt>
      <c:pivotFmt>
        <c:idx val="59"/>
      </c:pivotFmt>
      <c:pivotFmt>
        <c:idx val="60"/>
        <c:spPr>
          <a:solidFill>
            <a:schemeClr val="bg2"/>
          </a:solidFill>
          <a:ln>
            <a:noFill/>
          </a:ln>
          <a:effectLst/>
        </c:spPr>
      </c:pivotFmt>
      <c:pivotFmt>
        <c:idx val="6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lumMod val="75000"/>
            </a:schemeClr>
          </a:solidFill>
          <a:ln>
            <a:noFill/>
          </a:ln>
          <a:effectLst/>
        </c:spPr>
      </c:pivotFmt>
      <c:pivotFmt>
        <c:idx val="63"/>
        <c:spPr>
          <a:solidFill>
            <a:schemeClr val="accent5">
              <a:lumMod val="60000"/>
              <a:lumOff val="40000"/>
            </a:schemeClr>
          </a:solidFill>
          <a:ln>
            <a:noFill/>
          </a:ln>
          <a:effectLst/>
        </c:spPr>
      </c:pivotFmt>
      <c:pivotFmt>
        <c:idx val="64"/>
        <c:spPr>
          <a:solidFill>
            <a:schemeClr val="accent5">
              <a:lumMod val="40000"/>
              <a:lumOff val="60000"/>
            </a:schemeClr>
          </a:solidFill>
          <a:ln>
            <a:noFill/>
          </a:ln>
          <a:effectLst/>
        </c:spPr>
      </c:pivotFmt>
      <c:pivotFmt>
        <c:idx val="65"/>
        <c:spPr>
          <a:solidFill>
            <a:schemeClr val="accent5">
              <a:lumMod val="20000"/>
              <a:lumOff val="80000"/>
            </a:schemeClr>
          </a:solidFill>
          <a:ln>
            <a:noFill/>
          </a:ln>
          <a:effectLst/>
        </c:spPr>
      </c:pivotFmt>
      <c:pivotFmt>
        <c:idx val="66"/>
        <c:spPr>
          <a:solidFill>
            <a:schemeClr val="accent5">
              <a:lumMod val="50000"/>
            </a:schemeClr>
          </a:solidFill>
          <a:ln>
            <a:noFill/>
          </a:ln>
          <a:effectLst/>
        </c:spPr>
      </c:pivotFmt>
    </c:pivotFmts>
    <c:plotArea>
      <c:layout/>
      <c:barChart>
        <c:barDir val="col"/>
        <c:grouping val="clustered"/>
        <c:varyColors val="0"/>
        <c:ser>
          <c:idx val="0"/>
          <c:order val="0"/>
          <c:tx>
            <c:strRef>
              <c:f>'Top 5 Cities by Revenue'!$B$3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0-BF56-472B-BB11-B17864E4E92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BF56-472B-BB11-B17864E4E92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BF56-472B-BB11-B17864E4E926}"/>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BF56-472B-BB11-B17864E4E926}"/>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BF56-472B-BB11-B17864E4E926}"/>
              </c:ext>
            </c:extLst>
          </c:dPt>
          <c:dPt>
            <c:idx val="5"/>
            <c:invertIfNegative val="0"/>
            <c:bubble3D val="0"/>
            <c:extLst>
              <c:ext xmlns:c16="http://schemas.microsoft.com/office/drawing/2014/chart" uri="{C3380CC4-5D6E-409C-BE32-E72D297353CC}">
                <c16:uniqueId val="{00000005-BF56-472B-BB11-B17864E4E926}"/>
              </c:ext>
            </c:extLst>
          </c:dPt>
          <c:dPt>
            <c:idx val="6"/>
            <c:invertIfNegative val="0"/>
            <c:bubble3D val="0"/>
            <c:extLst>
              <c:ext xmlns:c16="http://schemas.microsoft.com/office/drawing/2014/chart" uri="{C3380CC4-5D6E-409C-BE32-E72D297353CC}">
                <c16:uniqueId val="{00000006-BF56-472B-BB11-B17864E4E926}"/>
              </c:ext>
            </c:extLst>
          </c:dPt>
          <c:dPt>
            <c:idx val="7"/>
            <c:invertIfNegative val="0"/>
            <c:bubble3D val="0"/>
            <c:extLst>
              <c:ext xmlns:c16="http://schemas.microsoft.com/office/drawing/2014/chart" uri="{C3380CC4-5D6E-409C-BE32-E72D297353CC}">
                <c16:uniqueId val="{00000007-BF56-472B-BB11-B17864E4E9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8-BF56-472B-BB11-B17864E4E926}"/>
            </c:ext>
          </c:extLst>
        </c:ser>
        <c:dLbls>
          <c:dLblPos val="outEnd"/>
          <c:showLegendKey val="0"/>
          <c:showVal val="1"/>
          <c:showCatName val="0"/>
          <c:showSerName val="0"/>
          <c:showPercent val="0"/>
          <c:showBubbleSize val="0"/>
        </c:dLbls>
        <c:gapWidth val="20"/>
        <c:axId val="757913392"/>
        <c:axId val="757907152"/>
      </c:barChart>
      <c:catAx>
        <c:axId val="7579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07152"/>
        <c:crosses val="autoZero"/>
        <c:auto val="1"/>
        <c:lblAlgn val="ctr"/>
        <c:lblOffset val="100"/>
        <c:noMultiLvlLbl val="0"/>
      </c:catAx>
      <c:valAx>
        <c:axId val="757907152"/>
        <c:scaling>
          <c:orientation val="minMax"/>
        </c:scaling>
        <c:delete val="1"/>
        <c:axPos val="l"/>
        <c:numFmt formatCode="&quot;$&quot;#,##0.00" sourceLinked="1"/>
        <c:majorTickMark val="none"/>
        <c:minorTickMark val="none"/>
        <c:tickLblPos val="nextTo"/>
        <c:crossAx val="75791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Trend report!PivotTable2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bg2">
              <a:lumMod val="10000"/>
            </a:schemeClr>
          </a:solidFill>
          <a:ln>
            <a:noFill/>
          </a:ln>
          <a:effectLst/>
        </c:spPr>
      </c:pivotFmt>
      <c:pivotFmt>
        <c:idx val="19"/>
        <c:spPr>
          <a:solidFill>
            <a:schemeClr val="bg2">
              <a:lumMod val="25000"/>
            </a:schemeClr>
          </a:solidFill>
          <a:ln>
            <a:noFill/>
          </a:ln>
          <a:effectLst/>
        </c:spPr>
      </c:pivotFmt>
      <c:pivotFmt>
        <c:idx val="20"/>
        <c:spPr>
          <a:solidFill>
            <a:schemeClr val="bg2">
              <a:lumMod val="50000"/>
            </a:schemeClr>
          </a:solidFill>
          <a:ln>
            <a:noFill/>
          </a:ln>
          <a:effectLst/>
        </c:spPr>
      </c:pivotFmt>
      <c:pivotFmt>
        <c:idx val="21"/>
        <c:spPr>
          <a:solidFill>
            <a:schemeClr val="bg2">
              <a:lumMod val="75000"/>
            </a:schemeClr>
          </a:solidFill>
          <a:ln>
            <a:noFill/>
          </a:ln>
          <a:effectLst/>
        </c:spPr>
      </c:pivotFmt>
      <c:pivotFmt>
        <c:idx val="22"/>
        <c:spPr>
          <a:solidFill>
            <a:schemeClr val="bg2">
              <a:lumMod val="75000"/>
            </a:schemeClr>
          </a:solidFill>
          <a:ln>
            <a:noFill/>
          </a:ln>
          <a:effectLst/>
        </c:spPr>
      </c:pivotFmt>
      <c:pivotFmt>
        <c:idx val="23"/>
        <c:spPr>
          <a:solidFill>
            <a:schemeClr val="bg2">
              <a:lumMod val="9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2">
              <a:lumMod val="10000"/>
            </a:schemeClr>
          </a:solidFill>
          <a:ln>
            <a:noFill/>
          </a:ln>
          <a:effectLst/>
        </c:spPr>
      </c:pivotFmt>
      <c:pivotFmt>
        <c:idx val="26"/>
        <c:spPr>
          <a:solidFill>
            <a:schemeClr val="bg2">
              <a:lumMod val="25000"/>
            </a:schemeClr>
          </a:solidFill>
          <a:ln>
            <a:noFill/>
          </a:ln>
          <a:effectLst/>
        </c:spPr>
      </c:pivotFmt>
      <c:pivotFmt>
        <c:idx val="27"/>
        <c:spPr>
          <a:solidFill>
            <a:schemeClr val="bg2">
              <a:lumMod val="50000"/>
            </a:schemeClr>
          </a:solidFill>
          <a:ln>
            <a:noFill/>
          </a:ln>
          <a:effectLst/>
        </c:spPr>
      </c:pivotFmt>
      <c:pivotFmt>
        <c:idx val="28"/>
        <c:spPr>
          <a:solidFill>
            <a:schemeClr val="bg2">
              <a:lumMod val="75000"/>
            </a:schemeClr>
          </a:solidFill>
          <a:ln>
            <a:noFill/>
          </a:ln>
          <a:effectLst/>
        </c:spPr>
      </c:pivotFmt>
      <c:pivotFmt>
        <c:idx val="29"/>
        <c:spPr>
          <a:solidFill>
            <a:schemeClr val="bg2">
              <a:lumMod val="75000"/>
            </a:schemeClr>
          </a:solidFill>
          <a:ln>
            <a:noFill/>
          </a:ln>
          <a:effectLst/>
        </c:spPr>
      </c:pivotFmt>
      <c:pivotFmt>
        <c:idx val="30"/>
        <c:spPr>
          <a:solidFill>
            <a:schemeClr val="bg2">
              <a:lumMod val="90000"/>
            </a:schemeClr>
          </a:solidFill>
          <a:ln>
            <a:noFill/>
          </a:ln>
          <a:effectLst/>
        </c:spPr>
      </c:pivotFmt>
      <c:pivotFmt>
        <c:idx val="31"/>
        <c:spPr>
          <a:solidFill>
            <a:schemeClr val="accent1"/>
          </a:solidFill>
          <a:ln w="28575" cap="rnd">
            <a:solidFill>
              <a:schemeClr val="bg2">
                <a:lumMod val="25000"/>
              </a:schemeClr>
            </a:solidFill>
            <a:round/>
          </a:ln>
          <a:effectLst/>
        </c:spPr>
        <c:marker>
          <c:symbol val="none"/>
        </c:marker>
      </c:pivotFmt>
      <c:pivotFmt>
        <c:idx val="32"/>
        <c:spPr>
          <a:solidFill>
            <a:schemeClr val="accent1"/>
          </a:solidFill>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bg2">
                <a:lumMod val="10000"/>
              </a:schemeClr>
            </a:solidFill>
            <a:round/>
          </a:ln>
          <a:effectLst/>
        </c:spPr>
        <c:marker>
          <c:symbol val="none"/>
        </c:marker>
      </c:pivotFmt>
      <c:pivotFmt>
        <c:idx val="34"/>
        <c:spPr>
          <a:solidFill>
            <a:schemeClr val="accent1"/>
          </a:solidFill>
          <a:ln w="28575" cap="rnd">
            <a:solidFill>
              <a:schemeClr val="bg2">
                <a:lumMod val="10000"/>
              </a:schemeClr>
            </a:solidFill>
            <a:round/>
          </a:ln>
          <a:effectLst/>
        </c:spPr>
        <c:marker>
          <c:symbol val="none"/>
        </c:marker>
      </c:pivotFmt>
      <c:pivotFmt>
        <c:idx val="35"/>
        <c:spPr>
          <a:solidFill>
            <a:schemeClr val="accent1"/>
          </a:solidFill>
          <a:ln w="28575" cap="rnd">
            <a:solidFill>
              <a:schemeClr val="bg2">
                <a:lumMod val="10000"/>
              </a:schemeClr>
            </a:solidFill>
            <a:round/>
          </a:ln>
          <a:effectLst/>
        </c:spPr>
        <c:marker>
          <c:symbol val="none"/>
        </c:marker>
      </c:pivotFmt>
      <c:pivotFmt>
        <c:idx val="36"/>
        <c:spPr>
          <a:solidFill>
            <a:schemeClr val="accent1"/>
          </a:solidFill>
          <a:ln w="28575" cap="rnd">
            <a:solidFill>
              <a:schemeClr val="bg2">
                <a:lumMod val="10000"/>
              </a:schemeClr>
            </a:solidFill>
            <a:round/>
          </a:ln>
          <a:effectLst/>
        </c:spPr>
        <c:marker>
          <c:symbol val="none"/>
        </c:marker>
      </c:pivotFmt>
      <c:pivotFmt>
        <c:idx val="37"/>
        <c:spPr>
          <a:solidFill>
            <a:schemeClr val="accent1"/>
          </a:solidFill>
          <a:ln w="28575" cap="rnd">
            <a:solidFill>
              <a:schemeClr val="bg2">
                <a:lumMod val="10000"/>
              </a:schemeClr>
            </a:solidFill>
            <a:round/>
          </a:ln>
          <a:effectLst/>
        </c:spPr>
        <c:marker>
          <c:symbol val="none"/>
        </c:marker>
      </c:pivotFmt>
      <c:pivotFmt>
        <c:idx val="38"/>
        <c:spPr>
          <a:solidFill>
            <a:schemeClr val="accent1"/>
          </a:solidFill>
          <a:ln w="28575" cap="rnd">
            <a:solidFill>
              <a:schemeClr val="bg2">
                <a:lumMod val="10000"/>
              </a:schemeClr>
            </a:solidFill>
            <a:round/>
          </a:ln>
          <a:effectLst/>
        </c:spPr>
        <c:marker>
          <c:symbol val="none"/>
        </c:marker>
      </c:pivotFmt>
      <c:pivotFmt>
        <c:idx val="39"/>
        <c:spPr>
          <a:solidFill>
            <a:schemeClr val="accent1"/>
          </a:solidFill>
          <a:ln w="28575" cap="rnd">
            <a:solidFill>
              <a:schemeClr val="bg2">
                <a:lumMod val="10000"/>
              </a:schemeClr>
            </a:solidFill>
            <a:round/>
          </a:ln>
          <a:effectLst/>
        </c:spPr>
        <c:marker>
          <c:symbol val="none"/>
        </c:marker>
      </c:pivotFmt>
      <c:pivotFmt>
        <c:idx val="40"/>
        <c:spPr>
          <a:solidFill>
            <a:schemeClr val="accent1"/>
          </a:solidFill>
          <a:ln w="28575" cap="rnd">
            <a:solidFill>
              <a:schemeClr val="bg2">
                <a:lumMod val="10000"/>
              </a:schemeClr>
            </a:solidFill>
            <a:round/>
          </a:ln>
          <a:effectLst/>
        </c:spPr>
        <c:marker>
          <c:symbol val="none"/>
        </c:marker>
      </c:pivotFmt>
      <c:pivotFmt>
        <c:idx val="41"/>
        <c:spPr>
          <a:solidFill>
            <a:schemeClr val="accent1"/>
          </a:solidFill>
          <a:ln w="28575" cap="rnd">
            <a:solidFill>
              <a:schemeClr val="bg2">
                <a:lumMod val="10000"/>
              </a:schemeClr>
            </a:solidFill>
            <a:round/>
          </a:ln>
          <a:effectLst/>
        </c:spPr>
        <c:marker>
          <c:symbol val="none"/>
        </c:marker>
      </c:pivotFmt>
      <c:pivotFmt>
        <c:idx val="42"/>
        <c:spPr>
          <a:solidFill>
            <a:schemeClr val="accent1"/>
          </a:solidFill>
          <a:ln w="28575" cap="rnd">
            <a:solidFill>
              <a:schemeClr val="bg2">
                <a:lumMod val="10000"/>
              </a:schemeClr>
            </a:solidFill>
            <a:round/>
          </a:ln>
          <a:effectLst/>
        </c:spPr>
        <c:marker>
          <c:symbol val="none"/>
        </c:marker>
      </c:pivotFmt>
      <c:pivotFmt>
        <c:idx val="43"/>
        <c:spPr>
          <a:solidFill>
            <a:schemeClr val="accent1"/>
          </a:solidFill>
          <a:ln w="28575" cap="rnd">
            <a:solidFill>
              <a:schemeClr val="bg2">
                <a:lumMod val="10000"/>
              </a:schemeClr>
            </a:solidFill>
            <a:round/>
          </a:ln>
          <a:effectLst/>
        </c:spPr>
        <c:marker>
          <c:symbol val="none"/>
        </c:marker>
      </c:pivotFmt>
      <c:pivotFmt>
        <c:idx val="44"/>
        <c:spPr>
          <a:solidFill>
            <a:schemeClr val="accent1"/>
          </a:solidFill>
          <a:ln w="28575" cap="rnd">
            <a:solidFill>
              <a:schemeClr val="bg2">
                <a:lumMod val="10000"/>
              </a:schemeClr>
            </a:solidFill>
            <a:round/>
          </a:ln>
          <a:effectLst/>
        </c:spPr>
        <c:marker>
          <c:symbol val="none"/>
        </c:marker>
      </c:pivotFmt>
      <c:pivotFmt>
        <c:idx val="45"/>
        <c:spPr>
          <a:solidFill>
            <a:schemeClr val="accent1"/>
          </a:solidFill>
          <a:ln w="28575" cap="rnd">
            <a:solidFill>
              <a:schemeClr val="bg2">
                <a:lumMod val="10000"/>
              </a:schemeClr>
            </a:solidFill>
            <a:round/>
          </a:ln>
          <a:effectLst/>
        </c:spPr>
        <c:marker>
          <c:symbol val="none"/>
        </c:marker>
      </c:pivotFmt>
      <c:pivotFmt>
        <c:idx val="46"/>
        <c:spPr>
          <a:solidFill>
            <a:schemeClr val="accent1"/>
          </a:solidFill>
          <a:ln w="28575" cap="rnd">
            <a:solidFill>
              <a:schemeClr val="bg2">
                <a:lumMod val="10000"/>
              </a:schemeClr>
            </a:solidFill>
            <a:round/>
          </a:ln>
          <a:effectLst/>
        </c:spPr>
        <c:marker>
          <c:symbol val="none"/>
        </c:marker>
      </c:pivotFmt>
      <c:pivotFmt>
        <c:idx val="47"/>
        <c:spPr>
          <a:solidFill>
            <a:schemeClr val="accent1"/>
          </a:solidFill>
          <a:ln w="28575" cap="rnd">
            <a:solidFill>
              <a:schemeClr val="bg2">
                <a:lumMod val="10000"/>
              </a:schemeClr>
            </a:solidFill>
            <a:round/>
          </a:ln>
          <a:effectLst/>
        </c:spPr>
        <c:marker>
          <c:symbol val="none"/>
        </c:marker>
      </c:pivotFmt>
      <c:pivotFmt>
        <c:idx val="48"/>
        <c:spPr>
          <a:solidFill>
            <a:schemeClr val="accent1"/>
          </a:solidFill>
          <a:ln w="28575" cap="rnd">
            <a:solidFill>
              <a:schemeClr val="bg2">
                <a:lumMod val="10000"/>
              </a:schemeClr>
            </a:solidFill>
            <a:round/>
          </a:ln>
          <a:effectLst/>
        </c:spPr>
        <c:marker>
          <c:symbol val="none"/>
        </c:marker>
      </c:pivotFmt>
      <c:pivotFmt>
        <c:idx val="49"/>
        <c:spPr>
          <a:solidFill>
            <a:schemeClr val="accent1"/>
          </a:solidFill>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bg2">
                <a:lumMod val="10000"/>
              </a:schemeClr>
            </a:solidFill>
            <a:round/>
          </a:ln>
          <a:effectLst/>
        </c:spPr>
        <c:marker>
          <c:symbol val="none"/>
        </c:marker>
      </c:pivotFmt>
      <c:pivotFmt>
        <c:idx val="51"/>
        <c:spPr>
          <a:solidFill>
            <a:schemeClr val="accent1"/>
          </a:solidFill>
          <a:ln w="28575" cap="rnd">
            <a:solidFill>
              <a:schemeClr val="bg2">
                <a:lumMod val="10000"/>
              </a:schemeClr>
            </a:solidFill>
            <a:round/>
          </a:ln>
          <a:effectLst/>
        </c:spPr>
        <c:marker>
          <c:symbol val="none"/>
        </c:marker>
      </c:pivotFmt>
      <c:pivotFmt>
        <c:idx val="52"/>
        <c:spPr>
          <a:solidFill>
            <a:schemeClr val="accent1"/>
          </a:solidFill>
          <a:ln w="28575" cap="rnd">
            <a:solidFill>
              <a:schemeClr val="bg2">
                <a:lumMod val="10000"/>
              </a:schemeClr>
            </a:solidFill>
            <a:round/>
          </a:ln>
          <a:effectLst/>
        </c:spPr>
        <c:marker>
          <c:symbol val="none"/>
        </c:marker>
      </c:pivotFmt>
      <c:pivotFmt>
        <c:idx val="53"/>
        <c:spPr>
          <a:solidFill>
            <a:schemeClr val="accent1"/>
          </a:solidFill>
          <a:ln w="28575" cap="rnd">
            <a:solidFill>
              <a:schemeClr val="bg2">
                <a:lumMod val="10000"/>
              </a:schemeClr>
            </a:solidFill>
            <a:round/>
          </a:ln>
          <a:effectLst/>
        </c:spPr>
        <c:marker>
          <c:symbol val="none"/>
        </c:marker>
      </c:pivotFmt>
      <c:pivotFmt>
        <c:idx val="54"/>
        <c:spPr>
          <a:solidFill>
            <a:schemeClr val="accent1"/>
          </a:solidFill>
          <a:ln w="28575" cap="rnd">
            <a:solidFill>
              <a:schemeClr val="bg2">
                <a:lumMod val="10000"/>
              </a:schemeClr>
            </a:solidFill>
            <a:round/>
          </a:ln>
          <a:effectLst/>
        </c:spPr>
        <c:marker>
          <c:symbol val="none"/>
        </c:marker>
      </c:pivotFmt>
      <c:pivotFmt>
        <c:idx val="55"/>
        <c:spPr>
          <a:solidFill>
            <a:schemeClr val="accent1"/>
          </a:solidFill>
          <a:ln w="28575" cap="rnd">
            <a:solidFill>
              <a:schemeClr val="bg2">
                <a:lumMod val="10000"/>
              </a:schemeClr>
            </a:solidFill>
            <a:round/>
          </a:ln>
          <a:effectLst/>
        </c:spPr>
        <c:marker>
          <c:symbol val="none"/>
        </c:marker>
      </c:pivotFmt>
      <c:pivotFmt>
        <c:idx val="56"/>
        <c:spPr>
          <a:solidFill>
            <a:schemeClr val="accent1"/>
          </a:solidFill>
          <a:ln w="28575" cap="rnd">
            <a:solidFill>
              <a:schemeClr val="bg2">
                <a:lumMod val="10000"/>
              </a:schemeClr>
            </a:solidFill>
            <a:round/>
          </a:ln>
          <a:effectLst/>
        </c:spPr>
        <c:marker>
          <c:symbol val="none"/>
        </c:marker>
      </c:pivotFmt>
      <c:pivotFmt>
        <c:idx val="57"/>
        <c:spPr>
          <a:solidFill>
            <a:schemeClr val="accent1"/>
          </a:solidFill>
          <a:ln w="28575" cap="rnd">
            <a:solidFill>
              <a:schemeClr val="bg2">
                <a:lumMod val="10000"/>
              </a:schemeClr>
            </a:solidFill>
            <a:round/>
          </a:ln>
          <a:effectLst/>
        </c:spPr>
        <c:marker>
          <c:symbol val="none"/>
        </c:marker>
      </c:pivotFmt>
      <c:pivotFmt>
        <c:idx val="58"/>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5">
                <a:lumMod val="50000"/>
              </a:schemeClr>
            </a:solidFill>
            <a:round/>
          </a:ln>
          <a:effectLst/>
        </c:spPr>
        <c:marker>
          <c:symbol val="none"/>
        </c:marker>
      </c:pivotFmt>
      <c:pivotFmt>
        <c:idx val="60"/>
        <c:spPr>
          <a:solidFill>
            <a:schemeClr val="accent1"/>
          </a:solidFill>
          <a:ln w="28575" cap="rnd">
            <a:solidFill>
              <a:schemeClr val="accent5">
                <a:lumMod val="50000"/>
              </a:schemeClr>
            </a:solidFill>
            <a:round/>
          </a:ln>
          <a:effectLst/>
        </c:spPr>
        <c:marker>
          <c:symbol val="none"/>
        </c:marker>
      </c:pivotFmt>
      <c:pivotFmt>
        <c:idx val="61"/>
        <c:spPr>
          <a:solidFill>
            <a:schemeClr val="accent1"/>
          </a:solidFill>
          <a:ln w="28575" cap="rnd">
            <a:solidFill>
              <a:schemeClr val="accent5">
                <a:lumMod val="50000"/>
              </a:schemeClr>
            </a:solidFill>
            <a:round/>
          </a:ln>
          <a:effectLst/>
        </c:spPr>
        <c:marker>
          <c:symbol val="none"/>
        </c:marker>
      </c:pivotFmt>
      <c:pivotFmt>
        <c:idx val="62"/>
        <c:spPr>
          <a:solidFill>
            <a:schemeClr val="accent1"/>
          </a:solidFill>
          <a:ln w="28575" cap="rnd">
            <a:solidFill>
              <a:schemeClr val="accent5">
                <a:lumMod val="50000"/>
              </a:schemeClr>
            </a:solidFill>
            <a:round/>
          </a:ln>
          <a:effectLst/>
        </c:spPr>
        <c:marker>
          <c:symbol val="none"/>
        </c:marker>
      </c:pivotFmt>
      <c:pivotFmt>
        <c:idx val="63"/>
        <c:spPr>
          <a:solidFill>
            <a:schemeClr val="accent1"/>
          </a:solidFill>
          <a:ln w="28575" cap="rnd">
            <a:solidFill>
              <a:schemeClr val="accent5">
                <a:lumMod val="50000"/>
              </a:schemeClr>
            </a:solidFill>
            <a:round/>
          </a:ln>
          <a:effectLst/>
        </c:spPr>
        <c:marker>
          <c:symbol val="none"/>
        </c:marker>
      </c:pivotFmt>
      <c:pivotFmt>
        <c:idx val="64"/>
        <c:spPr>
          <a:solidFill>
            <a:schemeClr val="accent1"/>
          </a:solidFill>
          <a:ln w="28575" cap="rnd">
            <a:solidFill>
              <a:schemeClr val="accent5">
                <a:lumMod val="50000"/>
              </a:schemeClr>
            </a:solidFill>
            <a:round/>
          </a:ln>
          <a:effectLst/>
        </c:spPr>
        <c:marker>
          <c:symbol val="none"/>
        </c:marker>
      </c:pivotFmt>
      <c:pivotFmt>
        <c:idx val="65"/>
        <c:spPr>
          <a:solidFill>
            <a:schemeClr val="accent1"/>
          </a:solidFill>
          <a:ln w="28575" cap="rnd">
            <a:solidFill>
              <a:schemeClr val="accent5">
                <a:lumMod val="50000"/>
              </a:schemeClr>
            </a:solidFill>
            <a:round/>
          </a:ln>
          <a:effectLst/>
        </c:spPr>
        <c:marker>
          <c:symbol val="none"/>
        </c:marker>
      </c:pivotFmt>
      <c:pivotFmt>
        <c:idx val="66"/>
        <c:spPr>
          <a:solidFill>
            <a:schemeClr val="accent1"/>
          </a:solidFill>
          <a:ln w="28575" cap="rnd">
            <a:solidFill>
              <a:schemeClr val="accent5">
                <a:lumMod val="50000"/>
              </a:schemeClr>
            </a:solidFill>
            <a:round/>
          </a:ln>
          <a:effectLst/>
        </c:spPr>
        <c:marker>
          <c:symbol val="none"/>
        </c:marker>
      </c:pivotFmt>
      <c:pivotFmt>
        <c:idx val="67"/>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5">
                <a:lumMod val="50000"/>
              </a:schemeClr>
            </a:solidFill>
            <a:round/>
          </a:ln>
          <a:effectLst/>
        </c:spPr>
        <c:marker>
          <c:symbol val="none"/>
        </c:marker>
      </c:pivotFmt>
      <c:pivotFmt>
        <c:idx val="69"/>
        <c:spPr>
          <a:solidFill>
            <a:schemeClr val="accent1"/>
          </a:solidFill>
          <a:ln w="28575" cap="rnd">
            <a:solidFill>
              <a:schemeClr val="accent5">
                <a:lumMod val="50000"/>
              </a:schemeClr>
            </a:solidFill>
            <a:round/>
          </a:ln>
          <a:effectLst/>
        </c:spPr>
        <c:marker>
          <c:symbol val="none"/>
        </c:marker>
      </c:pivotFmt>
      <c:pivotFmt>
        <c:idx val="70"/>
        <c:spPr>
          <a:solidFill>
            <a:schemeClr val="accent1"/>
          </a:solidFill>
          <a:ln w="28575" cap="rnd">
            <a:solidFill>
              <a:schemeClr val="accent5">
                <a:lumMod val="50000"/>
              </a:schemeClr>
            </a:solidFill>
            <a:round/>
          </a:ln>
          <a:effectLst/>
        </c:spPr>
        <c:marker>
          <c:symbol val="none"/>
        </c:marker>
      </c:pivotFmt>
      <c:pivotFmt>
        <c:idx val="71"/>
        <c:spPr>
          <a:solidFill>
            <a:schemeClr val="accent1"/>
          </a:solidFill>
          <a:ln w="28575" cap="rnd">
            <a:solidFill>
              <a:schemeClr val="accent5">
                <a:lumMod val="50000"/>
              </a:schemeClr>
            </a:solidFill>
            <a:round/>
          </a:ln>
          <a:effectLst/>
        </c:spPr>
        <c:marker>
          <c:symbol val="none"/>
        </c:marker>
      </c:pivotFmt>
      <c:pivotFmt>
        <c:idx val="72"/>
        <c:spPr>
          <a:solidFill>
            <a:schemeClr val="accent1"/>
          </a:solidFill>
          <a:ln w="28575" cap="rnd">
            <a:solidFill>
              <a:schemeClr val="accent5">
                <a:lumMod val="50000"/>
              </a:schemeClr>
            </a:solidFill>
            <a:round/>
          </a:ln>
          <a:effectLst/>
        </c:spPr>
        <c:marker>
          <c:symbol val="none"/>
        </c:marker>
      </c:pivotFmt>
      <c:pivotFmt>
        <c:idx val="73"/>
        <c:spPr>
          <a:solidFill>
            <a:schemeClr val="accent1"/>
          </a:solidFill>
          <a:ln w="28575" cap="rnd">
            <a:solidFill>
              <a:schemeClr val="accent5">
                <a:lumMod val="50000"/>
              </a:schemeClr>
            </a:solidFill>
            <a:round/>
          </a:ln>
          <a:effectLst/>
        </c:spPr>
        <c:marker>
          <c:symbol val="none"/>
        </c:marker>
      </c:pivotFmt>
      <c:pivotFmt>
        <c:idx val="74"/>
        <c:spPr>
          <a:solidFill>
            <a:schemeClr val="accent1"/>
          </a:solidFill>
          <a:ln w="28575" cap="rnd">
            <a:solidFill>
              <a:schemeClr val="accent5">
                <a:lumMod val="50000"/>
              </a:schemeClr>
            </a:solidFill>
            <a:round/>
          </a:ln>
          <a:effectLst/>
        </c:spPr>
        <c:marker>
          <c:symbol val="none"/>
        </c:marker>
      </c:pivotFmt>
      <c:pivotFmt>
        <c:idx val="75"/>
        <c:spPr>
          <a:solidFill>
            <a:schemeClr val="accent1"/>
          </a:solidFill>
          <a:ln w="28575" cap="rnd">
            <a:solidFill>
              <a:schemeClr val="accent5">
                <a:lumMod val="50000"/>
              </a:schemeClr>
            </a:solidFill>
            <a:round/>
          </a:ln>
          <a:effectLst/>
        </c:spPr>
        <c:marker>
          <c:symbol val="none"/>
        </c:marker>
      </c:pivotFmt>
      <c:pivotFmt>
        <c:idx val="76"/>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
        <c:idx val="78"/>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
        <c:idx val="79"/>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
        <c:idx val="80"/>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
        <c:idx val="81"/>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
        <c:idx val="82"/>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
        <c:idx val="83"/>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
        <c:idx val="84"/>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circle"/>
            <c:size val="5"/>
            <c:spPr>
              <a:solidFill>
                <a:sysClr val="window" lastClr="FFFFFF">
                  <a:alpha val="51000"/>
                </a:sysClr>
              </a:solidFill>
              <a:ln w="9525">
                <a:solidFill>
                  <a:schemeClr val="accent1"/>
                </a:solidFill>
              </a:ln>
              <a:effectLst/>
            </c:spPr>
          </c:marker>
          <c:dPt>
            <c:idx val="0"/>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1-31E2-4DB0-91DA-B359576FEE23}"/>
              </c:ext>
            </c:extLst>
          </c:dPt>
          <c:dPt>
            <c:idx val="1"/>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3-31E2-4DB0-91DA-B359576FEE23}"/>
              </c:ext>
            </c:extLst>
          </c:dPt>
          <c:dPt>
            <c:idx val="2"/>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5-31E2-4DB0-91DA-B359576FEE23}"/>
              </c:ext>
            </c:extLst>
          </c:dPt>
          <c:dPt>
            <c:idx val="3"/>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7-31E2-4DB0-91DA-B359576FEE23}"/>
              </c:ext>
            </c:extLst>
          </c:dPt>
          <c:dPt>
            <c:idx val="4"/>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9-31E2-4DB0-91DA-B359576FEE23}"/>
              </c:ext>
            </c:extLst>
          </c:dPt>
          <c:dPt>
            <c:idx val="5"/>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B-31E2-4DB0-91DA-B359576FEE23}"/>
              </c:ext>
            </c:extLst>
          </c:dPt>
          <c:dPt>
            <c:idx val="6"/>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D-31E2-4DB0-91DA-B359576FEE23}"/>
              </c:ext>
            </c:extLst>
          </c:dPt>
          <c:dPt>
            <c:idx val="7"/>
            <c:marker>
              <c:symbol val="circle"/>
              <c:size val="5"/>
              <c:spPr>
                <a:solidFill>
                  <a:sysClr val="window" lastClr="FFFFFF">
                    <a:alpha val="51000"/>
                  </a:sysClr>
                </a:solidFill>
                <a:ln w="9525">
                  <a:solidFill>
                    <a:schemeClr val="accent1"/>
                  </a:solidFill>
                </a:ln>
                <a:effectLst/>
              </c:spPr>
            </c:marker>
            <c:bubble3D val="0"/>
            <c:spPr>
              <a:ln w="28575" cap="rnd">
                <a:solidFill>
                  <a:schemeClr val="accent5">
                    <a:lumMod val="50000"/>
                  </a:schemeClr>
                </a:solidFill>
                <a:round/>
              </a:ln>
              <a:effectLst/>
            </c:spPr>
            <c:extLst>
              <c:ext xmlns:c16="http://schemas.microsoft.com/office/drawing/2014/chart" uri="{C3380CC4-5D6E-409C-BE32-E72D297353CC}">
                <c16:uniqueId val="{0000000F-31E2-4DB0-91DA-B359576FEE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0-31E2-4DB0-91DA-B359576FEE23}"/>
            </c:ext>
          </c:extLst>
        </c:ser>
        <c:dLbls>
          <c:dLblPos val="t"/>
          <c:showLegendKey val="0"/>
          <c:showVal val="1"/>
          <c:showCatName val="0"/>
          <c:showSerName val="0"/>
          <c:showPercent val="0"/>
          <c:showBubbleSize val="0"/>
        </c:dLbls>
        <c:marker val="1"/>
        <c:smooth val="0"/>
        <c:axId val="757913392"/>
        <c:axId val="757907152"/>
      </c:lineChart>
      <c:catAx>
        <c:axId val="7579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07152"/>
        <c:crosses val="autoZero"/>
        <c:auto val="1"/>
        <c:lblAlgn val="ctr"/>
        <c:lblOffset val="100"/>
        <c:noMultiLvlLbl val="0"/>
      </c:catAx>
      <c:valAx>
        <c:axId val="75790715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7579133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by Region!PivotTable2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accent1"/>
          </a:solidFill>
          <a:ln w="28575" cap="rnd">
            <a:solidFill>
              <a:schemeClr val="accent5">
                <a:lumMod val="50000"/>
              </a:schemeClr>
            </a:solidFill>
            <a:round/>
          </a:ln>
          <a:effectLst/>
        </c:spPr>
        <c:marker>
          <c:symbol val="none"/>
        </c:marker>
        <c:dLbl>
          <c:idx val="0"/>
          <c:layout>
            <c:manualLayout>
              <c:x val="0.10307998012916045"/>
              <c:y val="4.4444444444444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11863047670457"/>
                  <c:h val="6.2155730533683277E-2"/>
                </c:manualLayout>
              </c15:layout>
            </c:ext>
          </c:extLst>
        </c:dLbl>
      </c:pivotFmt>
      <c:pivotFmt>
        <c:idx val="19"/>
        <c:spPr>
          <a:solidFill>
            <a:schemeClr val="accent1"/>
          </a:solidFill>
          <a:ln w="28575" cap="rnd">
            <a:solidFill>
              <a:schemeClr val="accent5">
                <a:lumMod val="50000"/>
              </a:schemeClr>
            </a:solidFill>
            <a:round/>
          </a:ln>
          <a:effectLst/>
        </c:spPr>
        <c:marker>
          <c:symbol val="none"/>
        </c:marker>
        <c:dLbl>
          <c:idx val="0"/>
          <c:layout>
            <c:manualLayout>
              <c:x val="8.9418777943368111E-2"/>
              <c:y val="5.7777952755905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63477553383324"/>
                  <c:h val="6.2155730533683277E-2"/>
                </c:manualLayout>
              </c15:layout>
            </c:ext>
          </c:extLst>
        </c:dLbl>
      </c:pivotFmt>
      <c:pivotFmt>
        <c:idx val="20"/>
        <c:spPr>
          <a:solidFill>
            <a:schemeClr val="accent1"/>
          </a:solidFill>
          <a:ln w="28575" cap="rnd">
            <a:solidFill>
              <a:schemeClr val="accent5">
                <a:lumMod val="50000"/>
              </a:schemeClr>
            </a:solidFill>
            <a:round/>
          </a:ln>
          <a:effectLst/>
        </c:spPr>
        <c:marker>
          <c:symbol val="none"/>
        </c:marker>
        <c:dLbl>
          <c:idx val="0"/>
          <c:layout>
            <c:manualLayout>
              <c:x val="-5.9612518628912113E-2"/>
              <c:y val="7.5555555555555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27610688008262"/>
                  <c:h val="6.2155730533683277E-2"/>
                </c:manualLayout>
              </c15:layout>
            </c:ext>
          </c:extLst>
        </c:dLbl>
      </c:pivotFmt>
      <c:pivotFmt>
        <c:idx val="21"/>
        <c:spPr>
          <a:solidFill>
            <a:schemeClr val="accent1"/>
          </a:solidFill>
          <a:ln w="28575" cap="rnd">
            <a:solidFill>
              <a:schemeClr val="accent5">
                <a:lumMod val="50000"/>
              </a:schemeClr>
            </a:solidFill>
            <a:round/>
          </a:ln>
          <a:effectLst/>
        </c:spPr>
        <c:marker>
          <c:symbol val="none"/>
        </c:marker>
        <c:dLbl>
          <c:idx val="0"/>
          <c:layout>
            <c:manualLayout>
              <c:x val="-0.10680576254346746"/>
              <c:y val="-6.8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27610688008262"/>
                  <c:h val="6.660017497812773E-2"/>
                </c:manualLayout>
              </c15:layout>
            </c:ext>
          </c:extLst>
        </c:dLbl>
      </c:pivotFmt>
      <c:pivotFmt>
        <c:idx val="22"/>
        <c:spPr>
          <a:solidFill>
            <a:schemeClr val="accent1"/>
          </a:solidFill>
          <a:ln>
            <a:noFill/>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5">
                <a:lumMod val="50000"/>
              </a:schemeClr>
            </a:solidFill>
            <a:round/>
          </a:ln>
          <a:effectLst/>
        </c:spPr>
        <c:marker>
          <c:symbol val="none"/>
        </c:marker>
        <c:dLbl>
          <c:idx val="0"/>
          <c:layout>
            <c:manualLayout>
              <c:x val="0.10307998012916045"/>
              <c:y val="4.4444444444444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11863047670457"/>
                  <c:h val="6.2155730533683277E-2"/>
                </c:manualLayout>
              </c15:layout>
            </c:ext>
          </c:extLst>
        </c:dLbl>
      </c:pivotFmt>
      <c:pivotFmt>
        <c:idx val="26"/>
        <c:spPr>
          <a:solidFill>
            <a:schemeClr val="accent1"/>
          </a:solidFill>
          <a:ln w="28575" cap="rnd">
            <a:solidFill>
              <a:schemeClr val="accent5">
                <a:lumMod val="50000"/>
              </a:schemeClr>
            </a:solidFill>
            <a:round/>
          </a:ln>
          <a:effectLst/>
        </c:spPr>
        <c:marker>
          <c:symbol val="none"/>
        </c:marker>
        <c:dLbl>
          <c:idx val="0"/>
          <c:layout>
            <c:manualLayout>
              <c:x val="8.9418777943368111E-2"/>
              <c:y val="5.77779527559055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63477553383324"/>
                  <c:h val="6.2155730533683277E-2"/>
                </c:manualLayout>
              </c15:layout>
            </c:ext>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5.9612518628912113E-2"/>
              <c:y val="7.5555555555555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27610688008262"/>
                  <c:h val="6.2155730533683277E-2"/>
                </c:manualLayout>
              </c15:layout>
            </c:ext>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0.10680576254346746"/>
              <c:y val="-6.8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27610688008262"/>
                  <c:h val="6.660017497812773E-2"/>
                </c:manualLayout>
              </c15:layout>
            </c:ext>
          </c:extLst>
        </c:dLbl>
      </c:pivotFmt>
      <c:pivotFmt>
        <c:idx val="29"/>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50000"/>
              </a:schemeClr>
            </a:solidFill>
            <a:round/>
          </a:ln>
          <a:effectLst/>
        </c:spPr>
        <c:marker>
          <c:symbol val="none"/>
        </c:marker>
        <c:dLbl>
          <c:idx val="0"/>
          <c:layout>
            <c:manualLayout>
              <c:x val="0.16671637638576778"/>
              <c:y val="5.41419438384896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999728465630383"/>
                  <c:h val="0.21730764678888925"/>
                </c:manualLayout>
              </c15:layout>
            </c:ext>
          </c:extLst>
        </c:dLbl>
      </c:pivotFmt>
      <c:pivotFmt>
        <c:idx val="31"/>
        <c:spPr>
          <a:ln w="28575" cap="rnd">
            <a:solidFill>
              <a:schemeClr val="accent5">
                <a:lumMod val="50000"/>
              </a:schemeClr>
            </a:solidFill>
            <a:round/>
          </a:ln>
          <a:effectLst/>
        </c:spPr>
        <c:marker>
          <c:symbol val="none"/>
        </c:marker>
        <c:dLbl>
          <c:idx val="0"/>
          <c:layout>
            <c:manualLayout>
              <c:x val="0.15305519115017474"/>
              <c:y val="8.68688472894668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90777709748371"/>
                  <c:h val="0.17851975319293847"/>
                </c:manualLayout>
              </c15:layout>
            </c:ext>
          </c:extLst>
        </c:dLbl>
      </c:pivotFmt>
      <c:pivotFmt>
        <c:idx val="32"/>
        <c:spPr>
          <a:ln w="28575" cap="rnd">
            <a:solidFill>
              <a:schemeClr val="accent5">
                <a:lumMod val="50000"/>
              </a:schemeClr>
            </a:solidFill>
            <a:round/>
          </a:ln>
          <a:effectLst/>
        </c:spPr>
        <c:marker>
          <c:symbol val="none"/>
        </c:marker>
        <c:dLbl>
          <c:idx val="0"/>
          <c:layout>
            <c:manualLayout>
              <c:x val="9.935580976177989E-4"/>
              <c:y val="5.61615103456015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933682621657178"/>
                  <c:h val="0.13973185959698767"/>
                </c:manualLayout>
              </c15:layout>
            </c:ext>
          </c:extLst>
        </c:dLbl>
      </c:pivotFmt>
      <c:pivotFmt>
        <c:idx val="33"/>
        <c:spPr>
          <a:ln w="28575" cap="rnd">
            <a:solidFill>
              <a:schemeClr val="accent5">
                <a:lumMod val="50000"/>
              </a:schemeClr>
            </a:solidFill>
            <a:round/>
          </a:ln>
          <a:effectLst/>
        </c:spPr>
        <c:marker>
          <c:symbol val="none"/>
        </c:marker>
        <c:dLbl>
          <c:idx val="0"/>
          <c:layout>
            <c:manualLayout>
              <c:x val="-0.15529045826316309"/>
              <c:y val="-0.127070819211002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60951878287704"/>
                  <c:h val="0.18296356304979741"/>
                </c:manualLayout>
              </c15:layout>
            </c:ext>
          </c:extLst>
        </c:dLbl>
      </c:pivotFmt>
    </c:pivotFmts>
    <c:plotArea>
      <c:layout/>
      <c:radarChart>
        <c:radarStyle val="marker"/>
        <c:varyColors val="0"/>
        <c:ser>
          <c:idx val="0"/>
          <c:order val="0"/>
          <c:tx>
            <c:strRef>
              <c:f>'Sales by Region'!$B$3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1802-418B-93A6-05EE973BBFDE}"/>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1802-418B-93A6-05EE973BBFDE}"/>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1802-418B-93A6-05EE973BBFDE}"/>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1802-418B-93A6-05EE973BBFDE}"/>
              </c:ext>
            </c:extLst>
          </c:dPt>
          <c:dPt>
            <c:idx val="4"/>
            <c:marker>
              <c:symbol val="none"/>
            </c:marker>
            <c:bubble3D val="0"/>
            <c:extLst>
              <c:ext xmlns:c16="http://schemas.microsoft.com/office/drawing/2014/chart" uri="{C3380CC4-5D6E-409C-BE32-E72D297353CC}">
                <c16:uniqueId val="{00000008-1802-418B-93A6-05EE973BBFDE}"/>
              </c:ext>
            </c:extLst>
          </c:dPt>
          <c:dPt>
            <c:idx val="5"/>
            <c:marker>
              <c:symbol val="none"/>
            </c:marker>
            <c:bubble3D val="0"/>
            <c:extLst>
              <c:ext xmlns:c16="http://schemas.microsoft.com/office/drawing/2014/chart" uri="{C3380CC4-5D6E-409C-BE32-E72D297353CC}">
                <c16:uniqueId val="{00000009-1802-418B-93A6-05EE973BBFDE}"/>
              </c:ext>
            </c:extLst>
          </c:dPt>
          <c:dPt>
            <c:idx val="6"/>
            <c:marker>
              <c:symbol val="none"/>
            </c:marker>
            <c:bubble3D val="0"/>
            <c:extLst>
              <c:ext xmlns:c16="http://schemas.microsoft.com/office/drawing/2014/chart" uri="{C3380CC4-5D6E-409C-BE32-E72D297353CC}">
                <c16:uniqueId val="{0000000A-1802-418B-93A6-05EE973BBFDE}"/>
              </c:ext>
            </c:extLst>
          </c:dPt>
          <c:dPt>
            <c:idx val="7"/>
            <c:marker>
              <c:symbol val="none"/>
            </c:marker>
            <c:bubble3D val="0"/>
            <c:extLst>
              <c:ext xmlns:c16="http://schemas.microsoft.com/office/drawing/2014/chart" uri="{C3380CC4-5D6E-409C-BE32-E72D297353CC}">
                <c16:uniqueId val="{0000000B-1802-418B-93A6-05EE973BBFDE}"/>
              </c:ext>
            </c:extLst>
          </c:dPt>
          <c:dLbls>
            <c:dLbl>
              <c:idx val="0"/>
              <c:layout>
                <c:manualLayout>
                  <c:x val="0.16671637638576778"/>
                  <c:y val="5.4141943838489658E-2"/>
                </c:manualLayout>
              </c:layout>
              <c:showLegendKey val="0"/>
              <c:showVal val="1"/>
              <c:showCatName val="0"/>
              <c:showSerName val="0"/>
              <c:showPercent val="0"/>
              <c:showBubbleSize val="0"/>
              <c:extLst>
                <c:ext xmlns:c15="http://schemas.microsoft.com/office/drawing/2012/chart" uri="{CE6537A1-D6FC-4f65-9D91-7224C49458BB}">
                  <c15:layout>
                    <c:manualLayout>
                      <c:w val="0.30999728465630383"/>
                      <c:h val="0.21730764678888925"/>
                    </c:manualLayout>
                  </c15:layout>
                </c:ext>
                <c:ext xmlns:c16="http://schemas.microsoft.com/office/drawing/2014/chart" uri="{C3380CC4-5D6E-409C-BE32-E72D297353CC}">
                  <c16:uniqueId val="{00000001-1802-418B-93A6-05EE973BBFDE}"/>
                </c:ext>
              </c:extLst>
            </c:dLbl>
            <c:dLbl>
              <c:idx val="1"/>
              <c:layout>
                <c:manualLayout>
                  <c:x val="0.15305519115017474"/>
                  <c:y val="8.6868847289466866E-2"/>
                </c:manualLayout>
              </c:layout>
              <c:showLegendKey val="0"/>
              <c:showVal val="1"/>
              <c:showCatName val="0"/>
              <c:showSerName val="0"/>
              <c:showPercent val="0"/>
              <c:showBubbleSize val="0"/>
              <c:extLst>
                <c:ext xmlns:c15="http://schemas.microsoft.com/office/drawing/2012/chart" uri="{CE6537A1-D6FC-4f65-9D91-7224C49458BB}">
                  <c15:layout>
                    <c:manualLayout>
                      <c:w val="0.24690777709748371"/>
                      <c:h val="0.17851975319293847"/>
                    </c:manualLayout>
                  </c15:layout>
                </c:ext>
                <c:ext xmlns:c16="http://schemas.microsoft.com/office/drawing/2014/chart" uri="{C3380CC4-5D6E-409C-BE32-E72D297353CC}">
                  <c16:uniqueId val="{00000003-1802-418B-93A6-05EE973BBFDE}"/>
                </c:ext>
              </c:extLst>
            </c:dLbl>
            <c:dLbl>
              <c:idx val="2"/>
              <c:layout>
                <c:manualLayout>
                  <c:x val="9.935580976177989E-4"/>
                  <c:y val="5.6161510345601573E-2"/>
                </c:manualLayout>
              </c:layout>
              <c:showLegendKey val="0"/>
              <c:showVal val="1"/>
              <c:showCatName val="0"/>
              <c:showSerName val="0"/>
              <c:showPercent val="0"/>
              <c:showBubbleSize val="0"/>
              <c:extLst>
                <c:ext xmlns:c15="http://schemas.microsoft.com/office/drawing/2012/chart" uri="{CE6537A1-D6FC-4f65-9D91-7224C49458BB}">
                  <c15:layout>
                    <c:manualLayout>
                      <c:w val="0.31933682621657178"/>
                      <c:h val="0.13973185959698767"/>
                    </c:manualLayout>
                  </c15:layout>
                </c:ext>
                <c:ext xmlns:c16="http://schemas.microsoft.com/office/drawing/2014/chart" uri="{C3380CC4-5D6E-409C-BE32-E72D297353CC}">
                  <c16:uniqueId val="{00000005-1802-418B-93A6-05EE973BBFDE}"/>
                </c:ext>
              </c:extLst>
            </c:dLbl>
            <c:dLbl>
              <c:idx val="3"/>
              <c:layout>
                <c:manualLayout>
                  <c:x val="-0.15529045826316309"/>
                  <c:y val="-0.12707081921100233"/>
                </c:manualLayout>
              </c:layout>
              <c:showLegendKey val="0"/>
              <c:showVal val="1"/>
              <c:showCatName val="0"/>
              <c:showSerName val="0"/>
              <c:showPercent val="0"/>
              <c:showBubbleSize val="0"/>
              <c:extLst>
                <c:ext xmlns:c15="http://schemas.microsoft.com/office/drawing/2012/chart" uri="{CE6537A1-D6FC-4f65-9D91-7224C49458BB}">
                  <c15:layout>
                    <c:manualLayout>
                      <c:w val="0.24660951878287704"/>
                      <c:h val="0.18296356304979741"/>
                    </c:manualLayout>
                  </c15:layout>
                </c:ext>
                <c:ext xmlns:c16="http://schemas.microsoft.com/office/drawing/2014/chart" uri="{C3380CC4-5D6E-409C-BE32-E72D297353CC}">
                  <c16:uniqueId val="{00000007-1802-418B-93A6-05EE973BBFDE}"/>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North</c:v>
                </c:pt>
                <c:pt idx="1">
                  <c:v>East</c:v>
                </c:pt>
                <c:pt idx="2">
                  <c:v>South</c:v>
                </c:pt>
                <c:pt idx="3">
                  <c:v>West</c:v>
                </c:pt>
              </c:strCache>
            </c:strRef>
          </c:cat>
          <c:val>
            <c:numRef>
              <c:f>'Sales by Region'!$B$4:$B$8</c:f>
              <c:numCache>
                <c:formatCode>"$"#,##0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1802-418B-93A6-05EE973BBFDE}"/>
            </c:ext>
          </c:extLst>
        </c:ser>
        <c:dLbls>
          <c:showLegendKey val="0"/>
          <c:showVal val="0"/>
          <c:showCatName val="0"/>
          <c:showSerName val="0"/>
          <c:showPercent val="0"/>
          <c:showBubbleSize val="0"/>
        </c:dLbls>
        <c:axId val="237198208"/>
        <c:axId val="237196960"/>
      </c:radarChart>
      <c:catAx>
        <c:axId val="23719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96960"/>
        <c:crosses val="autoZero"/>
        <c:auto val="1"/>
        <c:lblAlgn val="ctr"/>
        <c:lblOffset val="100"/>
        <c:noMultiLvlLbl val="0"/>
      </c:catAx>
      <c:valAx>
        <c:axId val="23719696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237198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by product category!PivotTable2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a:noFill/>
          </a:ln>
          <a:effectLst/>
        </c:spPr>
      </c:pivotFmt>
      <c:pivotFmt>
        <c:idx val="2"/>
        <c:spPr>
          <a:solidFill>
            <a:schemeClr val="bg2">
              <a:lumMod val="25000"/>
            </a:schemeClr>
          </a:solidFill>
          <a:ln>
            <a:noFill/>
          </a:ln>
          <a:effectLst/>
        </c:spPr>
      </c:pivotFmt>
      <c:pivotFmt>
        <c:idx val="3"/>
        <c:spPr>
          <a:solidFill>
            <a:schemeClr val="bg2">
              <a:lumMod val="50000"/>
            </a:schemeClr>
          </a:solidFill>
          <a:ln>
            <a:noFill/>
          </a:ln>
          <a:effectLst/>
        </c:spPr>
      </c:pivotFmt>
      <c:pivotFmt>
        <c:idx val="4"/>
        <c:spPr>
          <a:solidFill>
            <a:schemeClr val="bg2">
              <a:lumMod val="90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10000"/>
            </a:schemeClr>
          </a:solidFill>
          <a:ln>
            <a:noFill/>
          </a:ln>
          <a:effectLst/>
        </c:spPr>
      </c:pivotFmt>
      <c:pivotFmt>
        <c:idx val="11"/>
        <c:spPr>
          <a:solidFill>
            <a:schemeClr val="bg2">
              <a:lumMod val="25000"/>
            </a:schemeClr>
          </a:solidFill>
          <a:ln>
            <a:noFill/>
          </a:ln>
          <a:effectLst/>
        </c:spPr>
      </c:pivotFmt>
      <c:pivotFmt>
        <c:idx val="12"/>
        <c:spPr>
          <a:solidFill>
            <a:schemeClr val="bg2">
              <a:lumMod val="50000"/>
            </a:schemeClr>
          </a:solidFill>
          <a:ln>
            <a:noFill/>
          </a:ln>
          <a:effectLst/>
        </c:spPr>
      </c:pivotFmt>
      <c:pivotFmt>
        <c:idx val="13"/>
        <c:spPr>
          <a:solidFill>
            <a:schemeClr val="bg2">
              <a:lumMod val="50000"/>
            </a:schemeClr>
          </a:solidFill>
          <a:ln>
            <a:noFill/>
          </a:ln>
          <a:effectLst/>
        </c:spPr>
      </c:pivotFmt>
      <c:pivotFmt>
        <c:idx val="14"/>
        <c:spPr>
          <a:solidFill>
            <a:schemeClr val="bg2">
              <a:lumMod val="75000"/>
            </a:schemeClr>
          </a:solidFill>
          <a:ln>
            <a:noFill/>
          </a:ln>
          <a:effectLst/>
        </c:spPr>
      </c:pivotFmt>
      <c:pivotFmt>
        <c:idx val="15"/>
        <c:spPr>
          <a:solidFill>
            <a:schemeClr val="bg2">
              <a:lumMod val="75000"/>
            </a:schemeClr>
          </a:solidFill>
          <a:ln>
            <a:noFill/>
          </a:ln>
          <a:effectLst/>
        </c:spPr>
      </c:pivotFmt>
      <c:pivotFmt>
        <c:idx val="16"/>
        <c:spPr>
          <a:solidFill>
            <a:schemeClr val="bg2">
              <a:lumMod val="75000"/>
            </a:schemeClr>
          </a:solidFill>
          <a:ln>
            <a:noFill/>
          </a:ln>
          <a:effectLst/>
        </c:spPr>
      </c:pivotFmt>
      <c:pivotFmt>
        <c:idx val="17"/>
        <c:spPr>
          <a:solidFill>
            <a:schemeClr val="bg2">
              <a:lumMod val="9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1"/>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40000"/>
              <a:lumOff val="60000"/>
            </a:schemeClr>
          </a:solidFill>
          <a:ln>
            <a:noFill/>
          </a:ln>
          <a:effectLst/>
        </c:spPr>
      </c:pivotFmt>
      <c:pivotFmt>
        <c:idx val="23"/>
        <c:spPr>
          <a:solidFill>
            <a:schemeClr val="accent5">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c:spPr>
      </c:pivotFmt>
      <c:pivotFmt>
        <c:idx val="26"/>
        <c:spPr>
          <a:solidFill>
            <a:schemeClr val="accent5">
              <a:lumMod val="75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dLbl>
          <c:idx val="0"/>
          <c:layout>
            <c:manualLayout>
              <c:x val="-5.86080180383481E-3"/>
              <c:y val="3.0000393700787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64176425824631"/>
                  <c:h val="0.11969999999999997"/>
                </c:manualLayout>
              </c15:layout>
            </c:ext>
          </c:extLst>
        </c:dLbl>
      </c:pivotFmt>
      <c:pivotFmt>
        <c:idx val="29"/>
        <c:spPr>
          <a:solidFill>
            <a:schemeClr val="accent5">
              <a:lumMod val="60000"/>
              <a:lumOff val="40000"/>
            </a:schemeClr>
          </a:solidFill>
          <a:ln>
            <a:noFill/>
          </a:ln>
          <a:effectLst/>
        </c:spPr>
        <c:dLbl>
          <c:idx val="0"/>
          <c:layout>
            <c:manualLayout>
              <c:x val="3.9404201041192195E-2"/>
              <c:y val="-1.99996062992126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883523717095863"/>
                  <c:h val="7.9699999999999993E-2"/>
                </c:manualLayout>
              </c15:layout>
            </c:ext>
          </c:extLst>
        </c:dLbl>
      </c:pivotFmt>
      <c:pivotFmt>
        <c:idx val="30"/>
        <c:spPr>
          <a:solidFill>
            <a:schemeClr val="accent5">
              <a:lumMod val="20000"/>
              <a:lumOff val="80000"/>
            </a:schemeClr>
          </a:solidFill>
          <a:ln>
            <a:noFill/>
          </a:ln>
          <a:effectLst/>
        </c:spPr>
        <c:dLbl>
          <c:idx val="0"/>
          <c:layout>
            <c:manualLayout>
              <c:x val="2.930400901917405E-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125283175945422"/>
                  <c:h val="0.12970000000000001"/>
                </c:manualLayout>
              </c15:layout>
            </c:ext>
          </c:extLst>
        </c:dLbl>
      </c:pivotFmt>
    </c:pivotFmts>
    <c:plotArea>
      <c:layout>
        <c:manualLayout>
          <c:layoutTarget val="inner"/>
          <c:xMode val="edge"/>
          <c:yMode val="edge"/>
          <c:x val="0.22605297149573661"/>
          <c:y val="0.02"/>
          <c:w val="0.48928557748972168"/>
          <c:h val="0.83484409448818897"/>
        </c:manualLayout>
      </c:layout>
      <c:pieChart>
        <c:varyColors val="1"/>
        <c:ser>
          <c:idx val="0"/>
          <c:order val="0"/>
          <c:tx>
            <c:strRef>
              <c:f>'Sales by product category'!$B$3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4308-4EEC-BFA3-E29A5196003D}"/>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4308-4EEC-BFA3-E29A5196003D}"/>
              </c:ext>
            </c:extLst>
          </c:dPt>
          <c:dPt>
            <c:idx val="2"/>
            <c:bubble3D val="0"/>
            <c:spPr>
              <a:solidFill>
                <a:schemeClr val="accent5">
                  <a:lumMod val="20000"/>
                  <a:lumOff val="80000"/>
                </a:schemeClr>
              </a:solidFill>
              <a:ln>
                <a:noFill/>
              </a:ln>
              <a:effectLst/>
            </c:spPr>
            <c:extLst>
              <c:ext xmlns:c16="http://schemas.microsoft.com/office/drawing/2014/chart" uri="{C3380CC4-5D6E-409C-BE32-E72D297353CC}">
                <c16:uniqueId val="{00000004-4308-4EEC-BFA3-E29A5196003D}"/>
              </c:ext>
            </c:extLst>
          </c:dPt>
          <c:dPt>
            <c:idx val="3"/>
            <c:bubble3D val="0"/>
            <c:spPr>
              <a:solidFill>
                <a:schemeClr val="accent4"/>
              </a:solidFill>
              <a:ln>
                <a:noFill/>
              </a:ln>
              <a:effectLst/>
            </c:spPr>
            <c:extLst>
              <c:ext xmlns:c16="http://schemas.microsoft.com/office/drawing/2014/chart" uri="{C3380CC4-5D6E-409C-BE32-E72D297353CC}">
                <c16:uniqueId val="{00000005-4308-4EEC-BFA3-E29A5196003D}"/>
              </c:ext>
            </c:extLst>
          </c:dPt>
          <c:dPt>
            <c:idx val="4"/>
            <c:bubble3D val="0"/>
            <c:spPr>
              <a:solidFill>
                <a:schemeClr val="accent5"/>
              </a:solidFill>
              <a:ln>
                <a:noFill/>
              </a:ln>
              <a:effectLst/>
            </c:spPr>
            <c:extLst>
              <c:ext xmlns:c16="http://schemas.microsoft.com/office/drawing/2014/chart" uri="{C3380CC4-5D6E-409C-BE32-E72D297353CC}">
                <c16:uniqueId val="{00000006-4308-4EEC-BFA3-E29A5196003D}"/>
              </c:ext>
            </c:extLst>
          </c:dPt>
          <c:dPt>
            <c:idx val="5"/>
            <c:bubble3D val="0"/>
            <c:spPr>
              <a:solidFill>
                <a:schemeClr val="accent6"/>
              </a:solidFill>
              <a:ln>
                <a:noFill/>
              </a:ln>
              <a:effectLst/>
            </c:spPr>
            <c:extLst>
              <c:ext xmlns:c16="http://schemas.microsoft.com/office/drawing/2014/chart" uri="{C3380CC4-5D6E-409C-BE32-E72D297353CC}">
                <c16:uniqueId val="{00000007-4308-4EEC-BFA3-E29A5196003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8-4308-4EEC-BFA3-E29A5196003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9-4308-4EEC-BFA3-E29A5196003D}"/>
              </c:ext>
            </c:extLst>
          </c:dPt>
          <c:dLbls>
            <c:dLbl>
              <c:idx val="0"/>
              <c:layout>
                <c:manualLayout>
                  <c:x val="-5.86080180383481E-3"/>
                  <c:y val="3.0000393700787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64176425824631"/>
                      <c:h val="0.11969999999999997"/>
                    </c:manualLayout>
                  </c15:layout>
                </c:ext>
                <c:ext xmlns:c16="http://schemas.microsoft.com/office/drawing/2014/chart" uri="{C3380CC4-5D6E-409C-BE32-E72D297353CC}">
                  <c16:uniqueId val="{00000001-4308-4EEC-BFA3-E29A5196003D}"/>
                </c:ext>
              </c:extLst>
            </c:dLbl>
            <c:dLbl>
              <c:idx val="1"/>
              <c:layout>
                <c:manualLayout>
                  <c:x val="3.9404201041192195E-2"/>
                  <c:y val="-1.99996062992126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883523717095863"/>
                      <c:h val="7.9699999999999993E-2"/>
                    </c:manualLayout>
                  </c15:layout>
                </c:ext>
                <c:ext xmlns:c16="http://schemas.microsoft.com/office/drawing/2014/chart" uri="{C3380CC4-5D6E-409C-BE32-E72D297353CC}">
                  <c16:uniqueId val="{00000003-4308-4EEC-BFA3-E29A5196003D}"/>
                </c:ext>
              </c:extLst>
            </c:dLbl>
            <c:dLbl>
              <c:idx val="2"/>
              <c:layout>
                <c:manualLayout>
                  <c:x val="2.930400901917405E-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125283175945422"/>
                      <c:h val="0.12970000000000001"/>
                    </c:manualLayout>
                  </c15:layout>
                </c:ext>
                <c:ext xmlns:c16="http://schemas.microsoft.com/office/drawing/2014/chart" uri="{C3380CC4-5D6E-409C-BE32-E72D297353CC}">
                  <c16:uniqueId val="{00000004-4308-4EEC-BFA3-E29A519600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category'!$A$4:$A$7</c:f>
              <c:strCache>
                <c:ptCount val="3"/>
                <c:pt idx="0">
                  <c:v>Beverages</c:v>
                </c:pt>
                <c:pt idx="1">
                  <c:v>Sauces</c:v>
                </c:pt>
                <c:pt idx="2">
                  <c:v>Jams, Preserves</c:v>
                </c:pt>
              </c:strCache>
            </c:strRef>
          </c:cat>
          <c:val>
            <c:numRef>
              <c:f>'Sales by product category'!$B$4:$B$7</c:f>
              <c:numCache>
                <c:formatCode>"$"#,##0</c:formatCode>
                <c:ptCount val="3"/>
                <c:pt idx="0">
                  <c:v>110577.10999999999</c:v>
                </c:pt>
                <c:pt idx="1">
                  <c:v>69000</c:v>
                </c:pt>
                <c:pt idx="2">
                  <c:v>51541</c:v>
                </c:pt>
              </c:numCache>
            </c:numRef>
          </c:val>
          <c:extLst>
            <c:ext xmlns:c16="http://schemas.microsoft.com/office/drawing/2014/chart" uri="{C3380CC4-5D6E-409C-BE32-E72D297353CC}">
              <c16:uniqueId val="{0000000A-4308-4EEC-BFA3-E29A5196003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699221531284047"/>
          <c:y val="0.65310787401574799"/>
          <c:w val="0.33714700782993889"/>
          <c:h val="0.2837834645669291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ANALYSIS.xlsx]Sales Performance by Rep!PivotTable2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0"/>
              <c:y val="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dLbl>
          <c:idx val="0"/>
          <c:layout>
            <c:manualLayout>
              <c:x val="4.9677098857426726E-3"/>
              <c:y val="-8.8888888888888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8.7494279310465998E-3"/>
              <c:y val="-3.38337707786526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4903129657228018E-2"/>
              <c:y val="1.33333333333332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0"/>
              <c:y val="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dLbl>
          <c:idx val="0"/>
          <c:layout>
            <c:manualLayout>
              <c:x val="4.9677098857426726E-3"/>
              <c:y val="-8.88888888888888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7494279310465998E-3"/>
              <c:y val="-3.38337707786526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c:spPr>
        <c:dLbl>
          <c:idx val="0"/>
          <c:layout>
            <c:manualLayout>
              <c:x val="0.15294117647058825"/>
              <c:y val="-0.114545454545454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c:spPr>
        <c:dLbl>
          <c:idx val="0"/>
          <c:layout>
            <c:manualLayout>
              <c:x val="-0.20679712830013897"/>
              <c:y val="5.4747315676449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a:noFill/>
          </a:ln>
          <a:effectLst/>
        </c:spPr>
        <c:dLbl>
          <c:idx val="0"/>
          <c:layout>
            <c:manualLayout>
              <c:x val="-0.16183881426586383"/>
              <c:y val="-3.9747315676449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5859194071329"/>
          <c:y val="0.13478453829634929"/>
          <c:w val="0.54024687355257062"/>
          <c:h val="0.83492698639942731"/>
        </c:manualLayout>
      </c:layout>
      <c:doughnutChart>
        <c:varyColors val="1"/>
        <c:ser>
          <c:idx val="0"/>
          <c:order val="0"/>
          <c:tx>
            <c:strRef>
              <c:f>'Sales Performance by Rep'!$B$3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ADE5-49BE-AC99-162BD7DA0F50}"/>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ADE5-49BE-AC99-162BD7DA0F50}"/>
              </c:ext>
            </c:extLst>
          </c:dPt>
          <c:dPt>
            <c:idx val="2"/>
            <c:bubble3D val="0"/>
            <c:spPr>
              <a:solidFill>
                <a:schemeClr val="accent5">
                  <a:lumMod val="20000"/>
                  <a:lumOff val="80000"/>
                </a:schemeClr>
              </a:solidFill>
              <a:ln>
                <a:noFill/>
              </a:ln>
              <a:effectLst/>
            </c:spPr>
            <c:extLst>
              <c:ext xmlns:c16="http://schemas.microsoft.com/office/drawing/2014/chart" uri="{C3380CC4-5D6E-409C-BE32-E72D297353CC}">
                <c16:uniqueId val="{00000005-ADE5-49BE-AC99-162BD7DA0F50}"/>
              </c:ext>
            </c:extLst>
          </c:dPt>
          <c:dPt>
            <c:idx val="3"/>
            <c:bubble3D val="0"/>
            <c:spPr>
              <a:solidFill>
                <a:schemeClr val="accent4"/>
              </a:solidFill>
              <a:ln>
                <a:noFill/>
              </a:ln>
              <a:effectLst/>
            </c:spPr>
            <c:extLst>
              <c:ext xmlns:c16="http://schemas.microsoft.com/office/drawing/2014/chart" uri="{C3380CC4-5D6E-409C-BE32-E72D297353CC}">
                <c16:uniqueId val="{00000007-ADE5-49BE-AC99-162BD7DA0F50}"/>
              </c:ext>
            </c:extLst>
          </c:dPt>
          <c:dPt>
            <c:idx val="4"/>
            <c:bubble3D val="0"/>
            <c:spPr>
              <a:solidFill>
                <a:schemeClr val="accent5"/>
              </a:solidFill>
              <a:ln>
                <a:noFill/>
              </a:ln>
              <a:effectLst/>
            </c:spPr>
            <c:extLst>
              <c:ext xmlns:c16="http://schemas.microsoft.com/office/drawing/2014/chart" uri="{C3380CC4-5D6E-409C-BE32-E72D297353CC}">
                <c16:uniqueId val="{00000009-ADE5-49BE-AC99-162BD7DA0F50}"/>
              </c:ext>
            </c:extLst>
          </c:dPt>
          <c:dPt>
            <c:idx val="5"/>
            <c:bubble3D val="0"/>
            <c:spPr>
              <a:solidFill>
                <a:schemeClr val="accent6"/>
              </a:solidFill>
              <a:ln>
                <a:noFill/>
              </a:ln>
              <a:effectLst/>
            </c:spPr>
            <c:extLst>
              <c:ext xmlns:c16="http://schemas.microsoft.com/office/drawing/2014/chart" uri="{C3380CC4-5D6E-409C-BE32-E72D297353CC}">
                <c16:uniqueId val="{0000000B-ADE5-49BE-AC99-162BD7DA0F5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DE5-49BE-AC99-162BD7DA0F5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DE5-49BE-AC99-162BD7DA0F50}"/>
              </c:ext>
            </c:extLst>
          </c:dPt>
          <c:dLbls>
            <c:dLbl>
              <c:idx val="0"/>
              <c:layout>
                <c:manualLayout>
                  <c:x val="0.15294117647058825"/>
                  <c:y val="-0.11454545454545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5-49BE-AC99-162BD7DA0F50}"/>
                </c:ext>
              </c:extLst>
            </c:dLbl>
            <c:dLbl>
              <c:idx val="1"/>
              <c:layout>
                <c:manualLayout>
                  <c:x val="-0.20679712830013897"/>
                  <c:y val="5.4747315676449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5-49BE-AC99-162BD7DA0F50}"/>
                </c:ext>
              </c:extLst>
            </c:dLbl>
            <c:dLbl>
              <c:idx val="2"/>
              <c:layout>
                <c:manualLayout>
                  <c:x val="-0.16183881426586383"/>
                  <c:y val="-3.9747315676449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E5-49BE-AC99-162BD7DA0F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Rep'!$A$4:$A$7</c:f>
              <c:strCache>
                <c:ptCount val="3"/>
                <c:pt idx="0">
                  <c:v>Nancy Freehafer</c:v>
                </c:pt>
                <c:pt idx="1">
                  <c:v>Anne Larsen</c:v>
                </c:pt>
                <c:pt idx="2">
                  <c:v>Andrew Cencini</c:v>
                </c:pt>
              </c:strCache>
            </c:strRef>
          </c:cat>
          <c:val>
            <c:numRef>
              <c:f>'Sales Performance by Rep'!$B$4:$B$7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ADE5-49BE-AC99-162BD7DA0F5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549050486336266"/>
          <c:y val="0.7028253400143164"/>
          <c:w val="0.34509773043075498"/>
          <c:h val="0.2670758768790265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[OREO SALES ANALYSIS.xlsx]Top 10 Customers (2)!PivotTable1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Lst>
        </c:dLbl>
      </c:pivotFmt>
      <c:pivotFmt>
        <c:idx val="16"/>
        <c:spPr>
          <a:solidFill>
            <a:schemeClr val="accent5">
              <a:lumMod val="60000"/>
              <a:lumOff val="40000"/>
            </a:schemeClr>
          </a:solidFill>
          <a:ln>
            <a:noFill/>
          </a:ln>
          <a:effectLst/>
        </c:spPr>
        <c:dLbl>
          <c:idx val="0"/>
          <c:layout>
            <c:manualLayout>
              <c:x val="-0.13799446022869272"/>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20000"/>
              <a:lumOff val="80000"/>
            </a:schemeClr>
          </a:solidFill>
          <a:ln>
            <a:noFill/>
          </a:ln>
          <a:effectLst/>
        </c:spPr>
        <c:dLbl>
          <c:idx val="0"/>
          <c:layout>
            <c:manualLayout>
              <c:x val="-0.10487578977380646"/>
              <c:y val="-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Lst>
        </c:dLbl>
      </c:pivotFmt>
      <c:pivotFmt>
        <c:idx val="20"/>
        <c:spPr>
          <a:solidFill>
            <a:schemeClr val="accent5">
              <a:lumMod val="60000"/>
              <a:lumOff val="40000"/>
            </a:schemeClr>
          </a:solidFill>
          <a:ln>
            <a:noFill/>
          </a:ln>
          <a:effectLst/>
        </c:spPr>
        <c:dLbl>
          <c:idx val="0"/>
          <c:layout>
            <c:manualLayout>
              <c:x val="-0.13799446022869272"/>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20000"/>
              <a:lumOff val="80000"/>
            </a:schemeClr>
          </a:solidFill>
          <a:ln>
            <a:noFill/>
          </a:ln>
          <a:effectLst/>
        </c:spPr>
        <c:dLbl>
          <c:idx val="0"/>
          <c:layout>
            <c:manualLayout>
              <c:x val="-0.10487578977380646"/>
              <c:y val="-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50000"/>
            </a:schemeClr>
          </a:solidFill>
          <a:ln>
            <a:noFill/>
          </a:ln>
          <a:effectLst/>
        </c:spPr>
        <c:dLbl>
          <c:idx val="0"/>
          <c:layout>
            <c:manualLayout>
              <c:x val="0.10763567897838029"/>
              <c:y val="-0.184444444444444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924658501740904E-2"/>
                  <c:h val="6.660017497812773E-2"/>
                </c:manualLayout>
              </c15:layout>
            </c:ext>
          </c:extLst>
        </c:dLbl>
      </c:pivotFmt>
      <c:pivotFmt>
        <c:idx val="31"/>
        <c:spPr>
          <a:solidFill>
            <a:schemeClr val="accent5">
              <a:lumMod val="60000"/>
              <a:lumOff val="40000"/>
            </a:schemeClr>
          </a:solidFill>
          <a:ln>
            <a:noFill/>
          </a:ln>
          <a:effectLst/>
        </c:spPr>
        <c:dLbl>
          <c:idx val="0"/>
          <c:layout>
            <c:manualLayout>
              <c:x val="-0.13799446022869272"/>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20000"/>
              <a:lumOff val="80000"/>
            </a:schemeClr>
          </a:solidFill>
          <a:ln>
            <a:noFill/>
          </a:ln>
          <a:effectLst/>
        </c:spPr>
        <c:dLbl>
          <c:idx val="0"/>
          <c:layout>
            <c:manualLayout>
              <c:x val="-0.10487578977380646"/>
              <c:y val="-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50000"/>
            </a:schemeClr>
          </a:solidFill>
          <a:ln>
            <a:noFill/>
          </a:ln>
          <a:effectLst/>
        </c:spPr>
        <c:dLbl>
          <c:idx val="0"/>
          <c:layout>
            <c:manualLayout>
              <c:x val="0.15951258294319789"/>
              <c:y val="-0.12422902326917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67873592674509"/>
                  <c:h val="0.10100895843465137"/>
                </c:manualLayout>
              </c15:layout>
            </c:ext>
          </c:extLst>
        </c:dLbl>
      </c:pivotFmt>
      <c:pivotFmt>
        <c:idx val="35"/>
        <c:spPr>
          <a:solidFill>
            <a:schemeClr val="accent5">
              <a:lumMod val="60000"/>
              <a:lumOff val="40000"/>
            </a:schemeClr>
          </a:solidFill>
          <a:ln>
            <a:noFill/>
          </a:ln>
          <a:effectLst/>
        </c:spPr>
        <c:dLbl>
          <c:idx val="0"/>
          <c:layout>
            <c:manualLayout>
              <c:x val="-0.13799446022869272"/>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20000"/>
              <a:lumOff val="80000"/>
            </a:schemeClr>
          </a:solidFill>
          <a:ln>
            <a:noFill/>
          </a:ln>
          <a:effectLst/>
        </c:spPr>
        <c:dLbl>
          <c:idx val="0"/>
          <c:layout>
            <c:manualLayout>
              <c:x val="-0.10487578977380646"/>
              <c:y val="-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0829655568589"/>
          <c:y val="0.15712346600522631"/>
          <c:w val="0.47354933249859826"/>
          <c:h val="0.74596816253876053"/>
        </c:manualLayout>
      </c:layout>
      <c:doughnutChart>
        <c:varyColors val="1"/>
        <c:ser>
          <c:idx val="0"/>
          <c:order val="0"/>
          <c:tx>
            <c:strRef>
              <c:f>'Top 10 Customers (2)'!$B$3</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4B40-4A82-9528-6E47F77997BD}"/>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4B40-4A82-9528-6E47F77997BD}"/>
              </c:ext>
            </c:extLst>
          </c:dPt>
          <c:dPt>
            <c:idx val="2"/>
            <c:bubble3D val="0"/>
            <c:spPr>
              <a:solidFill>
                <a:schemeClr val="accent5">
                  <a:lumMod val="20000"/>
                  <a:lumOff val="80000"/>
                </a:schemeClr>
              </a:solidFill>
              <a:ln>
                <a:noFill/>
              </a:ln>
              <a:effectLst/>
            </c:spPr>
            <c:extLst>
              <c:ext xmlns:c16="http://schemas.microsoft.com/office/drawing/2014/chart" uri="{C3380CC4-5D6E-409C-BE32-E72D297353CC}">
                <c16:uniqueId val="{00000005-4B40-4A82-9528-6E47F77997BD}"/>
              </c:ext>
            </c:extLst>
          </c:dPt>
          <c:dPt>
            <c:idx val="3"/>
            <c:bubble3D val="0"/>
            <c:spPr>
              <a:solidFill>
                <a:schemeClr val="accent4"/>
              </a:solidFill>
              <a:ln>
                <a:noFill/>
              </a:ln>
              <a:effectLst/>
            </c:spPr>
            <c:extLst>
              <c:ext xmlns:c16="http://schemas.microsoft.com/office/drawing/2014/chart" uri="{C3380CC4-5D6E-409C-BE32-E72D297353CC}">
                <c16:uniqueId val="{00000007-4B40-4A82-9528-6E47F77997BD}"/>
              </c:ext>
            </c:extLst>
          </c:dPt>
          <c:dPt>
            <c:idx val="4"/>
            <c:bubble3D val="0"/>
            <c:spPr>
              <a:solidFill>
                <a:schemeClr val="accent5"/>
              </a:solidFill>
              <a:ln>
                <a:noFill/>
              </a:ln>
              <a:effectLst/>
            </c:spPr>
            <c:extLst>
              <c:ext xmlns:c16="http://schemas.microsoft.com/office/drawing/2014/chart" uri="{C3380CC4-5D6E-409C-BE32-E72D297353CC}">
                <c16:uniqueId val="{00000009-4B40-4A82-9528-6E47F77997BD}"/>
              </c:ext>
            </c:extLst>
          </c:dPt>
          <c:dPt>
            <c:idx val="5"/>
            <c:bubble3D val="0"/>
            <c:spPr>
              <a:solidFill>
                <a:schemeClr val="accent6"/>
              </a:solidFill>
              <a:ln>
                <a:noFill/>
              </a:ln>
              <a:effectLst/>
            </c:spPr>
            <c:extLst>
              <c:ext xmlns:c16="http://schemas.microsoft.com/office/drawing/2014/chart" uri="{C3380CC4-5D6E-409C-BE32-E72D297353CC}">
                <c16:uniqueId val="{0000000B-4B40-4A82-9528-6E47F77997B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B40-4A82-9528-6E47F77997B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B40-4A82-9528-6E47F77997B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B40-4A82-9528-6E47F77997B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B40-4A82-9528-6E47F77997BD}"/>
              </c:ext>
            </c:extLst>
          </c:dPt>
          <c:dLbls>
            <c:dLbl>
              <c:idx val="0"/>
              <c:layout>
                <c:manualLayout>
                  <c:x val="0.15951258294319789"/>
                  <c:y val="-0.12422902326917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467873592674509"/>
                      <c:h val="0.10100895843465137"/>
                    </c:manualLayout>
                  </c15:layout>
                </c:ext>
                <c:ext xmlns:c16="http://schemas.microsoft.com/office/drawing/2014/chart" uri="{C3380CC4-5D6E-409C-BE32-E72D297353CC}">
                  <c16:uniqueId val="{00000001-4B40-4A82-9528-6E47F77997BD}"/>
                </c:ext>
              </c:extLst>
            </c:dLbl>
            <c:dLbl>
              <c:idx val="1"/>
              <c:layout>
                <c:manualLayout>
                  <c:x val="-0.13799446022869272"/>
                  <c:y val="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40-4A82-9528-6E47F77997BD}"/>
                </c:ext>
              </c:extLst>
            </c:dLbl>
            <c:dLbl>
              <c:idx val="2"/>
              <c:layout>
                <c:manualLayout>
                  <c:x val="-0.10487578977380646"/>
                  <c:y val="-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40-4A82-9528-6E47F77997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 (2)'!$A$4:$A$7</c:f>
              <c:strCache>
                <c:ptCount val="3"/>
                <c:pt idx="0">
                  <c:v>Company D</c:v>
                </c:pt>
                <c:pt idx="1">
                  <c:v>Company H</c:v>
                </c:pt>
                <c:pt idx="2">
                  <c:v>Company BB</c:v>
                </c:pt>
              </c:strCache>
            </c:strRef>
          </c:cat>
          <c:val>
            <c:numRef>
              <c:f>'Top 10 Customers (2)'!$B$4:$B$7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4B40-4A82-9528-6E47F77997B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039436072250448"/>
          <c:y val="0.6472892370090505"/>
          <c:w val="0.27045889216438318"/>
          <c:h val="0.3075717941388835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plotSurface>
          <cx:spPr>
            <a:noFill/>
            <a:ln>
              <a:noFill/>
            </a:ln>
          </cx:spPr>
        </cx:plotSurface>
        <cx:series layoutId="regionMap" uniqueId="{CC6DD730-53E8-4C4C-867B-29745F54227A}">
          <cx:tx>
            <cx:txData>
              <cx:f>_xlchart.v5.2</cx:f>
              <cx:v>Revnue</cx:v>
            </cx:txData>
          </cx:tx>
          <cx:dataLabels>
            <cx:visibility seriesName="0" categoryName="1" value="0"/>
            <cx:separator>, </cx:separator>
          </cx:dataLabels>
          <cx:dataId val="0"/>
          <cx:layoutPr>
            <cx:regionLabelLayout val="none"/>
            <cx:geography cultureLanguage="en-US" cultureRegion="US" attribution="Powered by Bing">
              <cx:geoCache provider="{E9337A44-BEBE-4D9F-B70C-5C5E7DAFC167}">
                <cx:binary>1Htpj9w2Fu1fCfz5yeFOcTAZ4ElV1Yvt9tK2J/EXoW13JGqjFmr99e+oq+24K0l7Mhg8IA3DQmkj
eZdz7z2X+uen+R+fytub7oe5Kuv+H5/mn55k3jf/+PHH/lN2W930Tyv7qXO9+9U//eSqH92vv9pP
tz9+7m4mW6c/MkLFj5+ym87fzk/+9U+8Lb11z92nG29d/Xq47ZY3t/1Q+v6Ra3946Yebz5Wtd7b3
nf3k6U9P/n3x5Ifb2lu/vF2a25+ePLj+5IcfT9/yuxF/KDEpP3zGs0I8VdwYyRUxx78nP5SuTu8v
B6F5qjkzUhpO7v74l7Gvbio8/2/bf3J1b+svp/9oSncTuvn8ubvte6zm7vjg0QcrOC7wkxtqv8ks
hfh+evKutv728w/X/sbf9k9+sL2LjzfEblvGu+u7df/4UOr/+ufJCUji5Mw3ijkV2/cu/U4vV788
JoS/qBf21HDDBOfsq9y/1YuWTxWuSEXFUW3qy9hHvVzdTj/84rriy9n/XC2/PXmilW15f0OtvL16
TAZ/TStcPg0FM4aE4VEr7MRb1FMuOFNU32uNfhn7qJW3t3UNH7i9/XL6P1fLN4+e6GVb4N9QLy/f
PCaEv6YXweEtoQoVV3+IYpSRp1KGlPIThbzsblP3X2DXl+dOVLGt6W+oiovn/0NVkKeUCRpydQ9M
5sRFzFMqoCgZyq+qOgazo4tclKWtnQXG/3mI++N48tuTJ1rZlvc31Mrhf6gVFj6VCOJU3EdxAj/4
NpyE7KkINRcs/OMwfyhdZz/f/HWlfH3wRCfb4v6GOvn3/31MBH8RtPRTAUSSOtRHT9APdXIELSVC
IuhdtDnBrn/f9BkST//f4Ne3z55oZlvi31Az797+7zTDzVPOuNaKyT8M85TSp0qHjDF1kna98zfZ
Y/P4Y+Q6PnWih21Bf0M9xP9DD+H6KZNCKUPNUQ/wgG9Ri1LzdMu1NBX06EJfZH+MJfFNaX91XW1v
vpz/z/Otb5890cy2xL+hZi52j0nhL2KXeMpDQzQi/VHw4almUFeiZtQhkV9GvY/vn28y9+XUf66O
i+NjJ5rYlvQ31ET88jEB/DVN8PCpMaGURPxWcjzwESKfSqGRj51U7rFDTL/5/F/o4rcnT9Sxretv
qI6r9/9DdSB0SCWE5Pd8yu8cQ8ExJA/1fQkJSPs2/b26HW/+mzzry3MnGtmW9jfQyONT/LYQeHDn
X+S6ENYlQb4luD6GE3jEt65izFOyFS7c3Jcu4qFuTjioP5/Wn0T5hxTWg5X8fyK4/pz8+soR7m78
zf6OXPyG/3r86hfi7OTRRwq4+0sXn396EoZbTf6Vs9ze8cAhdrflzXTTfWVMfnvm9qb3Pz0JwIQR
YVDYhEJTpY1CwTndfrmE5FrJEBmEIMjmnvxQu85nPz2BKUDRTGrDhdSEUxA5vRvuLoVPBfJySZSS
KIcY4V/Z3FeuXEAXfJXG/e8f6qF65Wzt+5+eUAOjao73bVOVwmwkHQ0FTMsgZCqC659u3iBz327/
P0U+ZjldTXu+qCX72ee+bnaq4dMQzWvl4ll3lT807fKqdGyd4jIbY0K0ieuENId8tHUerXylPyd2
qLKorgsVW0Om29mrYBfi5XGY8CIqU/+qDoMg6obygwi6cMcH2xzq1PRnCyfpvpuNWiII0Z4nlZTX
uZ/q5/Ps16syl36KwoGs57rtExEnedVdKkqK3eCSOQp0mUU+69qIG9U9m9suj1TFyyiYZX42YXIs
4p1qLvRqkwsXdP5NbVJx2fX2Q67b4GdbVsHbtK1VJNq5PhsMS/dN2vCoCfvm5Tr34a6a+9djmH6W
QYFFJlgpzdhrwZbiYEyR7RbJgyhPa39G0uLXpuN2iojxbleT1e9lY9cDa31zaFeMno3steIziaz2
L7xreTQw9trS8G0yDi9oYuoom+vrqV3p83lq8qgs6jFi4bT9Vz13S/VchM3PSeVZvFI/XxZL+sGo
5EK1boxKzl8XS/GhlWMeaeeu5zxYfynKmuwanmW7ImyGw0CWMba2jmGCb2ee7BOdq6hI1DaFNlIS
rzbtzM/0qslLXgTBwY+Fu057U753yyDe05nXZ7wum7hNE35QNJyj2vs2ykj1a782r4gS63kigksv
lvbGCdq9bYwfo8wmjMe8KfdTyJpX5STPk3ANo1D69uUyZt3Pogjfqt66Mzd39oz2S/pcJYXer9rQ
c9OqcN+V4btybYI2Enx6l4okvRSV63Ws0756zUwyfApI29Wxbgl/7VnJryrbZnQ3sWwOI5e1677M
6mse0HnPu7rLdszxN33pzaEPk3rHeabiBJ4T5Xa0u6wMxnis5tacdS1viou0oTRK7eKinMow8uGo
3BWj8/AsTQM/HKYukO+0mOwzUSnyQWDhu37xNq5szuxOQpbuQMMu6SI+L+TZtLTSX7icyEjK3C+/
BrVcg7Owcy75dTF6elGyjmdRWotiX2rLu4iWadxUOb3+tvXwACI+uWbpbJrd93y+/vzXW1fh310v
4reTW8vot18vvvSaHr3r7NZtaXV/etMG9F/f9VvXY0PXry2QE7g+dqf+BMsfvfgA6B+EtS/xc0NC
JhBO/xzn/zC4fn3uHuuVemo05wqcCZjeDdO/YD2qwKeSMjDzhkvUjCHyrnus1xQpmdCI6yykWwy4
B3qKzJkziQKGooI0KCP/CtDzhzi/jQjCxijKmVYgoxkm8C3OlzTvajoV8jakiR/MnjWiCcqYNKNd
30s5NMUNYFn2h7pd+kXsPJtlNseBS8jHtO5EHcSOzYW+NJlchl1hgro9n0xV9i9KWTXBErlils1H
Wfh8drtAqTLncaq1oLd6BmS8KbNZlzdhKJvkE694q65SZVvAbEVtj6mIRnbVy4wSIP8uLWVXNJGb
ZFU9p3ppMeW0qujyjFW8zn8N+tHhmW9U+gfREIzWN7FQKEPQ0jLIj81W1DMCi/hWRppWdshUFt4m
k6vz9txXohTnpRj7Tp+vfertFK+2QVVfksSy5PD48FtUfzi+1hztTMFDRCqKyTwcf8152Cui7Oec
FrywsXdcwumNYUGbH7p5Sju/6zKfiiwKRLA29atJ8KVnMRWrmvilV1ndF5FDTOnolZFhi2uPTxIm
/O0ckYxwDoLc8K21t5nlwznOmQ1Y1vHgswq6kbBduupUt4cyFJ6TqO68Uh8KSRJ/8fi4J7rZxkUa
pRk4L2ZCfjpuMyxOu4CHn9MFNqeikTRl/3MmElan0ZTbwb6sEzTMfZRlDsxY9PjwyNJOlq1FiM4A
M0KCWdObWL5Jk1I52oDMGf+MbEO3PJYTUfIGjhQAtleryysbUEdf8KJdhuuiJ2TNIhCkJYTyV2eC
4kwJpI3EENQCJwlbprOkzBfSfRZqgssdFqpWWhxkNw292NswEepDN0AEbdQrkIgfHGJ9Z/ajdaSZ
vqMVwNNDsUgGBhi9KyUVVMNPrMErS/KlqJNPiVlr2Z25tqmSZR8kVW+WsyXsZpjI4+unJ0imiTQE
XczNUUHy8PBEAKlZc2kaH3zMbKer4Hz22eYQ1ewytOWHKReriG3VL6yJZsM4BCEtyYbrqlH5EtcB
7eprU2VVV+9a6Tr2pkIa2398fJobnv6WVyPXp5wIQYSkGhiOdtNDgxmmJOxIu84f5853MAIyFAT6
IfPEZRDNHR+D64YV7eY0fnLbwTbp8B39/E5YFDWHUJwoEwrUEqfTCFvW+6VX7mNdygAYngO91ika
F+IX+YwnErjfp0NX3FS5rIGoXVN1VJ6HQR6MRdRmQNsN+ZcMT9V2LcdnYi4aV30HVuipg4Es5Uqz
jbeGhpU6iU8zn+rG1Cv/2CdMBdU+931TDq/a1dumjqd2aTG5QFcjrrmlrdyyC4t1Ca6npkkuetOV
eRpX60qWZ1XW1j6JalQ7iY8HSYLyjapMulYx42YGJLIgX2h9SVZT4q2FTaa2/Y6bUpSJDwwAbfYQ
1Z4i6KGAa5QniAHLrNuxHpsPWjqZy7ghoYQpJslgTBfTVQeA9mQ5omc5CFwb7uCkoUmIS/PkuWoP
w4RK4Xs+JE5RnCHbQOVnKGVoTP/OLIq56Kskc82HpoMXtXveF6F4wWjGl2e8HxaIwyRjub6vsnlZ
dDRk3dRmMQB/Um/Sdk2C864S+fq+C4ZeXYVWbQnCLMaqNGfFIDf1uJ4bmNAyajm+abq8WN+vpSqm
IiJluQUtC+lDQa42GU5y5Krr+7BCzZdEXOYLDv1KUh/uGtnz/qD0sOmumFOLBKO9G96EabCgOHRz
jlc4JA+YuQ3qLTfwjayKm7lXddsczNjR8Vpwt/rnXVcg7y7LqmNVHKRJNZ+nAsH1lzqsE/F+JCOF
kekwRZ4xtrVDivI4NpyiJqSvidYgcwTKf05PTIMnS51S05QfVlr1XRrNjOimjyaXu/KCD+0EoHh8
xFM0YhpYxOgd04DYfTpi35E+myo+/cLXYTPGaRAb/LFeFwjeamyl+pDkfIURTmzwffrijszovuPl
Wzr7wCm4VoppxArJCBPIkh+i4spRXQZGVe8rUVeeR94NMrh1bdYCjbKir+m+S7Szr8Y+TIE4TSZd
uk9Dz0YXhVpP5Rh5lrbPyiRU1zNHIbhE/UTV+MaHAbFxK9fZPYMRkSzKiUhsE4kEBAicPSOwQzdm
yC4ukrzwm+ePYEpfopGmmyXiRcfn8exxwZ/iWsgRoLZGHLvjuFETPFxxoZKsntpevxuHmiCJlV3H
kMSO62a3AkmWOM/oNMNs58JwHFJ/l9kGqtlMmg/5xJLrZFabSbPWrlV3bhvGN4hs157QQ1uOTW/P
VrkU8Lpkqracmi5hBe/UtIUbPb4kdoJsITKgEGETqAYNUkpOoLrldbW6vGbvQp9x+JYHWYIJ+IAP
m+ve+TG6AQvmlmTz5uLAyg1SuqZFoAkyijSeznI75dqiL25Kk2txbqdyk0O7TE5dJe2Mu2zGtyUu
aaX6QxHojh+asBt5Hy+IF1jud5Z2kmViaYZimwGFqxApkO891JafC6rLwS3veDpuSOW7Fqa1lqt1
nzwJC1ZHCxib9b1m9RYfq8BRKGRWVZku+7VS1KcHw4NheocstYM4Jp1zWB8fV6BJbQMDExNT2Wzo
NgA2zy1rJsCaR0aCAa1PCH6hxqIQRZUKiMJ7nQU+luWQwyUyw3L8Ospng8Li5nEhnPhoiHQB2ZVm
MkTZSX6X6tJpFWpRbfB2rLQDOhzTW5aF81jEqCyztP4eLJyEo21IwZHYE4Ql8EKnhRfJHbLWZtZv
+4HCQvziPQwKsR/yEXkjnNwnU+DmPlIlXyDwckxqpCwAPUhp6ubSv9IKzE1+SLwIAQZwyPFNB3od
EaAK4Ph+rhGo7tWWtlMNUc5lWMNX4EWbOtJi3hQR5JbiYJbcjG+IA61kz2RRIDYVym916uPSFicM
rMDityAAkKDoE/++okI62AcpmZe3WbaoMon8UPAmTiaS5FeKraJb9m0G/jKMDGMmz6Kua217ScqB
zzJqkO0Ez7q0CsQL8JKax+3k5vQTsSU5n5JBqF2ha1d+Fnm5dm8qpyrsGF5pOb0UIyXzugvz2kjQ
eMgfezBXkwzHq67NktmBRiUVfc5JR82urjtD43z2Q5dEbg7bNY+yeuzEHKdzMcIZxrWbljKaA5mL
/GAYHcS1Kv0i0pjMdJiGs8ZMGU2QvyWpv/CZRmYW67Wc1hVlLUyxuZiLJRmitm9ydRiNTvlOVsG8
vp2UY/b9IMo02XHhGY0X1KduiVTqe7Mzlk1FnMoyPdeM+13ryLQ+A5NKyBmdwNUe0qAPM7JvCleJ
d4sc0yJ4ZxyZ57ezn7l/EfS+Dt4gYujhs+yU6t6tekxrFzXO0ax/bea1LM4SC3bjsDoRVi4yheMs
i3W39m34kVZ5WH/OWOPGeQdTWdpbM/hpInFRTj3Nz31StzLcoQ6QpTpLqqBQV4bqoCjORtWwvsxu
s7DmHlKeKQ878WLlboRJr7Trm+w19kh7RfZ1LZpGXwwmsVn5vJZz0ab7fEz9ND6fZJJae0hENQ3y
TVIz3l6oXGRpeICtKPDwzbgSpJ9lH9rJRGkgVOt3WdKt+XIxpX2Q2bPJVog2cWEmAYAdGzvIn10w
KNlfwDimIIknjrSFXg0Nsi4T+YWHs3pZMq1x8MeTgbUlrhE0ODDc6nrRflyH1rDxMlddk7JzOgeB
1vGSy2LQZ3Od06qMpBi3uEhkYLGclEsElZs5WbA9PM5lZmT6cpmaqdGv8iTIp/KgCx6w5qIYFhOO
L1XOpTVRa8zGSejOy6x4r9MkCdZnQpQ9JBUsLSD7BVC7zeSzgCedLp9T21pavsrzKQ+T/ZQDCNK9
s5Rj7oCsbUrLGJSE7UmaLbbdkabI0cOoPQlk/TNLWY3xqrw05t2Qhm0bdyi9IVkWDhYRJKYq216C
+SNlidrWbDm9yHqsPm4yWnN1yLNpkxgvfYGD6zMfXNeV3iBfjD4NdWwm72AAa41848ybrsJ9zXGp
mZcrxNfmGn+IJX2C0cqMosisqd3UQxuRMflvWs6bnGthcnBJwRB0UEVQF2EmbtsWBU176KxFphVP
IV10G9swk0MADYqhHd77vB5sDXkF2erOsmEVdH4R5nqbsoWmm/VawbIwAsel9mMSzJuBqS7YNC+X
AOdKU22iGUeKWxFiw3bCHEbs4sca79fTdZy3H0G4ZTgn58ap60KKxPBYTAYEUNTojEIW99aTrL3B
K3UebItL/HInjAFW08X3Oa6Rq9x+8V4WLzixXXB9L+rgePsXIR/vA1PAiheaNRUmQOsgGz8WVjW2
O7M1X7Dolq34UCNKGU8tuUYBnjoTyaOi3Dp6mBoq76FLL2pqlkRGtMjGRb001eAgpZFVJW5hDTi2
LgbNkYwmKsiyJb1pJRlOljol7UdzlKBr4EHAteOaMmZRo8WNq9VEz5ch3KpzclTt0TzQMCkhHyUs
nthLXW6Ln9Hig52mtNuGyUSmcHJxLdHZuzWwYvCXWCnfxHs0pHVYBswSi9zeQm3X4zm0sDmsq/fZ
NvWjQIN1WvHDldwJvQ+IrIv8YkWDc27OUgISiewnOzj4tMnTjfnoJ+jXjpq1H6lKa5hPL5GxYvHd
iGT3ZQ8ue3shG7eDGNMQB/SwNneoVrnNvx5Umk3vhjItU4tOYoj3Zi2nKT8v+kVT/4wfbcXmvfH6
7F7kJh87TGe2vMBLEAEcBs8bWyDOj7RdFXmHzC0Px13TBr62MenTBIPLPMNerp0vG3CbJQgDUDZQ
UzZcaJdu7jwgvuJcsQwqDw8FksV5ueSmL2d37oUjVRWXRpTVGCU9mkQX1NAB92e+7XFA0ijLq6od
8P9STeDtJJkoqKIWXH55NRY+ASkwdTlGp1nqxveqTmZUAcmC7q3fTQZQnh9m3jIgTNhl5RDuywoh
ttrPQZ2Y/kIahKr5F6LmHHiTls4Vxfk9nZz7Muvyw5CVqHc/LaLHpx/nTZ5BHGf8zmdaF5YQWJ9M
RbK+51noJv+u5VM2qXN/XPps0h4i4s28FlhRkU693KuVUKCc78QmPjo3m9WAr9pM/Mifhn0xQQJ0
YNt6vbUMhw4GjvtbC/YxiGy5glc2ghW1iUBZLKp6wRva4Q610K2GHeXQw66OJMtKZdklh6Fuu4Rd
pEm74h3rkXpLUJaDNWylKEBRJrRA6VtVqJ3q2JcgJuSzqlCbP3m070DCp0XoAZVcJQtiXr8AafID
KttNeIPlG1XAhrAAF5+XdYrHu6XEKn+ZkJ4lweWU9F1nrwzPN5LSDQh3L3SRcOVfoy9aLcl+TvJg
yQ5qamTZ70BdUCUiDRJIfRAptga0EYKhgfLXQKxYlaqrLWxUMtnMrWMdhfEdJZl7ByaaW2L5eDmt
skr062IdpuC6QzINVmFtWqM+AG9hX8HUrJBAjq0Bmxk1dQDwR3m5sVSlRb6KzNpUbmo+KLNkLf0o
5lKVV0q1zZIcBHO9D36dLM3nZI+IxksZ9SX47yAOS6q792Akp8K/JWmbpymaqQvP5jeTRm7Tfjaj
HVv2S5+EoCbOumIYKxMHbO2L96sYmHDRgOgwo9in1CGn1FqagQ6w8io3LB5xMtBjpCd0pubd/UqO
umybHARxjE1Oy7asO7gpy3HDP7OkG5og+9+c1/bVdkd9x94nOdvOSUoC3LGky3ZjwsFOVHtU7ltv
w5ZJA1dOkS0mV6tfaLPP4aibV5pqu3JvssgpgURGotmDFsAdBb/BaZDG3bx0XEeUdSR8NWQ6nVw0
kRqEvVjWxLCLqa03L0+DdaMDe/SJcBBIy/xFuxLYtyDoP1yBt9xmXlh0Gj/cDyQ7g5DWwlSC62PF
Vtt81UWU180gXhdHwCqORGMb0o2MDsp2IyH7TnVC7Kq0al0SZa0aguvBygZr9hO6eOOlZemWxmVi
xhh6LLdpDXcOF7gCcSRK5LA5ecO2NuOunubNJnWyssJGMuvrqtpneQlvPBwFAh54A70CX2LgvaKn
Qf4sY7zU4XeIr5OCHlwO8AEWzABuiv6OVs48egjgq9l15pzCrHWazvCGyQFm20BsHlSOIF6yaLTt
NvfvVHcP+a5teLX1asj2dQPGP+kCdMPsgqnXoKqO0JiDA8YsUAfAkx4f6oRAhzcR7BvDWKCs8L/a
yvpvOlRTWLRhglTyi42QYnYubptEiJfaoGcFRFbZptTB5tCwE52Ayu7B8fG5PKQQsCsd9hNSbCNU
aIfDztnDuSQjZ6Bv8/TaoKumPlhJt3y87/GNx351SJ2/J+ffD4jP3kAcqNAwkIvmhFcsso7QsiLJ
G2zgQaBIC0T8C70UgLl7z358gXSj7X5r72wrBHdLpKYsZBTtqJMB5zIX2O1Tqjf3iDFl60baL4ov
Uh5m0YfjIW+StXs9THzJd9VQb3jOO0BD0K8C8eg7M3po6ZgRSqnQIHhpI7HB87QtthgSTHrh7Zvy
6FQT8jr4+DxgV097sOFooYJMDAs803AEB6QWQbZNJG94O6zx2KKyP8iKO0miGdCyxID6FrfDPxJ6
ZReOejKejv2s5gizjy/iVI1QnCCcSHRM8BED9sY9tBvE3dazORivsr7YkGm9S4SaXtbD6yUIB4HP
dr7u4Xh11Ne329/+aDxJoMjtT6nTzW96RjbCQjJc3Ye9Oc3aPCIOyOoi7A9L/xK1Jgkof4qNtXAM
fMckfgcHfErARI82vzqGJSTJmzZ0UcIv6r7dAsbjC9zw5RszhUGg/STggdiPIsBonvCZ07LOtltl
ca7roCtkrKtK8w+qg8N8zwV/PxRUF6KDh09QUWSeQl2VsGoZUpWeH1ORUYIdgR2xtsLh8VXdb8X4
ZmHgCjGUwQYZwgEh+LbyoaUQgr6Mtll/1q2MZP2eyXnbjTBgH/rgsP+sRg89dn0KbtVEVbKiWoy8
TD2tniFaYwtOGruiAfPznAlwD+RVlcg0decLcgPprpLZFnRe4oSh5fRL37YVyqAuZ6Ju91U5rMzH
xBHVV7uwk6DanvOZOq5emWM/r1AoRvjLpK5oO78o0mw02DIzjMpScCI5tmqco9DQttqVQd5AFfcJ
ig7wWBYVx7QCGXqIYKHuYOxYahQTAXRPWcUA3SgNtzRgGlmAhNaxEHVCzQbcgBRLDfqK9+WWzAXH
3KZBcxTeTpqQrjYqel/RNar7ztR2pxpd5kP0hfJoETaz6D6Rucug0FmbIN+1DbcgrtsRzBJqi0Kx
fRM6DFkVqCrGS4JuhU3jcq561FPg88u8fMeR9hp+pRZvRHORKxJsZEA/duBZl2MdZqal5+0uK4YK
tCsYGI0uQ5RnPnRJHAwunUgVtRy7h9gr05pGT/u0VUK2b+VixtW9Rb9h62ghByRMXTnfo4nw1jZg
m9MdNiFhO8Eh61pK87iiSDp/XVB69uGlVPPEPlA5Lz68Am2WNK9rY/KC7fO6DwgqYQDH7GNs20Uv
fV+7BbrdTTNbuyUiAZiJMUZqhk2A8SKWZHpemN73a4R29GRRTZuwQ1/UZqQ/E6T000dFqmLJdolA
wl1Hla6r7ucazEswROG2fxhk2TEFb9EPT9XzsAJu54c6KxUbkEXf5Vkgvrc8can9FnSOplHeZYO1
LguUbJ3BjpgmGjuiKgokS53GNFhRsGgqgtG8BYi78LqpTVAeKitTGWVpOl3Lxcp8t9gpObNi5OeW
8PWi6ubxHEyGe6M7xeLZyOxKW18ScMZj9zaBUZ+LVLo+gvdlH/OuKX9OiXW72dAEtWjJ/RmKXVBK
rJbPwoZ8cAXcsZ4a9VxNttlpkWXQLgm6Q65nsc+dHV6ueenJHlm534cLwXbeolfVp6wZrhkVzbNO
BOmzauyxu7YHBY29L+n56Aazy8wUvtZN1qKv39jPtm+TXZk1abSIut7JxLSX4cqqw5LU6ALXjRR4
dbjUschrfZjwyosQ9djHbnbDGfY9JJ9bU5RnxUzLNVpMLg9ZTtx1I8DNY1szafso4C59N81reFNi
3yZK+aF6i82tdk+YJ5eCmMxGLgj4cwGa7tD5Hl/h5zp5DfLQYr+S5+YzRasH9Qxt6JuR5Zk9NEsd
7Glf+Tf9KEA4AAqwg3QeLnnfLUUkqymME22SLPzZjswsF9iBMHzqmcjp3g2NR5ljq2yJRnzqfBt6
qatdkATdZWWwHWEnqM9fzyMvUCdV7pnsPW3jJMzcDcn75vmsBXnWK7pZaCK3Hmo6Tpcz0tkXRBfj
Bdjv4NIWPGO7EOj3mU4Tr6N1DSl2YmNf4S9T0063bRDMMbN0ven73DHsKGiwfXBde1huVjbYoE1d
N+yadSrmSzWkbRoR2tirhWoAMUqqeJx4yS/xCWrZXHZz2x1YM7BnsqzmCEzvezkt/4+7M1uOW8ea
9ROxgwNAgrccqlSaLVmy7BuER5AEBxAEQJBP/2f13qdjW3ZY0X157uywJQ6FYWHll1lfQ8v5LYkw
fdxiTYXWYtgWwg8uq+g2JTXJzHirGqI/bsqjJgshb4ulsBIMhCyzVlBVBDYhn6FMT0US9yOw4zUp
4nAw73w0yndLsxlZSmPE09xs84v2aoiL2Vtf8kgDz+5wf1BcGXpumHi+2Uvi2Xqfx0vTl+Puus/d
oPYCIs/wDG/5XCjlonc5RISTijUrrQ75JWlH8nlhqb/u0O93kB2IxUW5KbgNZpxILShoFkxt0Ucy
/6wDFDUVQ33WFbRb5vt0TeUBC32alnm7Zxcmmpp7cDpgO9ZGP8XTqI7O+ujYKZd+1gl/WnFOftrn
YWfHWZGt6OZBfN/wQo6NyaytUQZuj0bnlBeazFBspTBF2Dh3SnOpjjPqUDDQ2ZI/5aPJvyReJe87
zacvbnf7d4sBXrlsim8IwIJjiJ2imv1sHlFfBgVdR3cd6EV+2sMJHHkfcZBZaCffNltIsJd5rEhh
1zL0g6hMLzIIM6Vaxu4oqdVPYLsS3L+LL6NwTA5dmiwf0Zeb7/Ox0RfR1uePw6D3K7F0c+0zLLk4
Bg/t7UhCc6ktWe/Hhev3mjHyNZEOi0M8b+6WbAMmD3pad1Fi7JXX2XpqV59M6Nuw8cjTgVQ4HoOw
RNsjP+2B5tecN/rdHrPmiWHd/jjvzLzHhi8uMNmymz0KDBimtD30OafXULijpDRD3lds38YE412P
h10E071EC/5e+EnNJciQ8KDXbv6ojCUCh+t9v9Y5sVcAlSS6A8P0XiR7PmDNHsCvZ5JdRND8Sqd2
csecSNCZ18G3gMdg0K43SvY2L7fBo9atMouWNruWNHGZqUNktPSm6HPFr9dAiXt0WfrbgGzjc2/0
Z/yMQKO3jZ6XARVMZ7Pu1ucd8EuqovYyn1T8yQbcnn0ha3gD1Mc+tbFz87EBc0/KvImyK8InzQ55
OIz55dAwVUHHJXvhoHdXLN+HrOh2k7tiSPh4OwXQ+6+2YM7wrtNwNfp6zh2EnsjraD2NZB7uEk+C
d9mYt6pMvW6musmVfuhE6wY4A6atuRpaObVVoEcKCJHzKDhmbln2h42N2jbHc+kRVvA3wIMo8dam
VchLiTO57ssoQ+VS0sFyd4NuSbeUiY3E+zXbp62cwj69Bq7H4SSIUCJeGRzEzTNtcfrTWEe0MjRF
4SRGYEUXzqTZJY19OHbv92TjsSs2P4e5vYyx2IUnRqAIHOd+G3XVuIXaxzwQsgOBI/pcFzrgopdl
QHL/2CagZoq4If27aYuC/bjioNmVYTbH4fWad34sY40+/k3WYzmtAMjt1YTO1mUXw3QAk7K8NMHm
l+6u34I03xO8/jH0Q4U+zSDPlJaK6XBnDOmYqba0S/sYDfZlwnxgkDdLG23xUJPI9s21bKDOFsOI
Nm+5Gz+PRTJsEH4y28mLsSV0qgWEwhvZok1adb71F4lAJkeVsrDJ0BLrdHSSQivIkZZmWxGvUL9T
E5vbgOY+K4eOk6XIiEzQikPP7jlSgf7mcpQmiVZbfIQrIkpq4ZrYxiVKuCaYSmjzQNHWImvShy0g
U4bCzLKt7UuspAb/YQqD1rdfsQjNLK0b1auCijnyeS2HLMqaWsV+ovQmClxqnyDmDvyimxn5LJz7
tO+NeBKN+iRyRbsCx4ThcQXbUXPG9THE5hFikUg15K9sv+q3uL+FCcge4GfJSzWrXRUZME1VDAMd
HvXYp5XWMDxZ1hKsr84MX43g+yGbesh4wvMbKIwsLCO/rHO1Y7Mh9/nSJI8ZACJdtQ69HowHDJgC
PNz6LZqUfKfmcWH1kmXiepnG6dHOixG19cLBGzQOIiuCweenYermKh7n/iBnTh9HGUZ1bprpSnIa
3MTSk6tYQbScxALxOsexqIpj7j6PNrPH3cdxX4QZNuEqzN281CqC9wX84GpOSq+8yJc19OUsRVeS
dHGqyKOBgyEFEGlPS4qHqzc0uR93jkwPDt17PnbQ1yqNSbkW+yb1LXZ5bP5tKvuq7VBf4Bb4A3ad
9mDhsCvtqJrnrhXRJ3Te/AHQTn6cwnw4ZCrr7oMu1DDrpM1LOA5PfQcSTODgdshi3n2c1thMBU2m
6WMScn1p4wQWMq59x8oWzdFLrmI8tAjR4W69K3HYTe46HEsu3Rq1X2WTZJ8kF9GLjJL12kG5raia
p1OClvEzmu+xPK9pXhVJF843KecJ6lYsjudBSL4SeT4Mb+Nw3rV9vHyZHAvauk9bCKFoJk/paaRj
O5WLbr2B1rRPaBZmaxeVSY91pEiDtqM3vVriL03TGFnEPe6h6PqsYaXE7y3R/sKYaDZFT0Nq46wy
DUBOjVpListBTeaDwqmtKaVKkvATNt5VF3kAb9lFYGRaGdUFF+1M46czN3CIdidt0W6BuqPUd1+s
YwrbA06eh8ly0FATp8k1pDt9pTZAJYUWKGmu/WLVFxkb35YL2oyuaF3vvxqzYa5gUuKcZhW6mN8c
VCtXQJFz9di55BJNagFkqvU7inlgo98JEFJ+GLLGXJEN57ciQDliqp7PAa2DeQDzG+6OPpul7z9m
yvlSLslS9WEwh7d2zaJHqGssBxWEGq5Izdr0xxVF1SVWv3Gt/dw0HUq5HKUnKI5guk2aNQpKy88k
3jaEVNVaOTgMQKRgEJWkGZqOSHcQLoWUMsiykyjSdH0+xrqSb3Mbo6ZORr6/jIsd5V08RetS4VTB
JZa0PJ12VerIin47BmHcjeQutQlnhYzmNvncAxsNxtIFzHf8AMFM+vBGNlM65SVO256owu7NsNgy
w4ZLt6qBfsX6woLmJls1uo0P8mpjsNiF5WJxAIPDzqE7lBQemHduD9qquX0RQpJJVCumCmQUuHGS
URfOz1NqDgK12niyjQ1g5JsX72jdgH8axprO0NoeeRhDezkqgFJmrPRGgrC776yS+BxIAFzKdiCZ
oQE4YO54/O9DkGch3uPSjVuVq8bTFwqVqXn8q1kbqLPgYPr83BqNI+7VFUIdztI9eIGzDoJ5uGff
4PILfXoEV71jvs3RkrcfrVqbAIZMhkZXgJMt79YUWwSWY/NsGzQU2LVBQelvwy4PN1JasdhZHneo
W/i0sOV1U/clYXZ0Q0V7Y7fxKrF4vL1A6l8cLyWgl2Tgj4mBhTOtU4CqbXIZWjtvEzik1qDGwdlB
zAelWIf1OIDlU4JCuokBc6F0VzlWzC1vUUQxcmxNNmybQhfWoZPalkCqbL+SWoyetH2tVhA3OXoH
48Sud5R+rOZBn3KoYI7nyhYRmXNSZ9uekCN0v+FZMds/BaBrTBFPMJ8VxGLu1KBNhm/hKFFlgX5v
tKyndMmbymlwKr7YYUV9B8OQ3f5N2V/mrXD3FHTsBfrA7fUU8qSUcWpvumjbhlolA2Atl0MIVkH/
2OV+zU4zSrisSEa1kcKPqxyP2oSgGD1T6whzjpPf1B5yiaWVDLxIsY/ayiT79rC0wepRIAR9jQoU
J0TeKUqPOiVmqPjA/Jdg535TRSTWOXpgspW0QsTl+FWHELCLpXM4Gox74HAa0V3U1Cgn9HJhGyrd
NxH4c8cFFXU8lrtsxAE+LceDw2AjBjgnnvOx5CGZppps4XIRLVP2sXc9iZYy47GYSjQUW4oTarYt
twNLQ1vFIbXmBegDsIlCK1B2JZiO2aFAimJwRWhu3QqcvIeCzKjDbzwEN1+sCSyrmUz7y0AsE1B2
S2GuAFunBqAb8WaXio00hyQVmOYI3wI+mMyLoEjA1l3Mqp+70qJh9mUHsICxwfN3NggnPOeuYLdV
/n7Dh12RnLO87sBWfA8AL6F52ClxHWAZXj7hcLk277Ju0OeqK4nbC1Qw6aUmGW2/YIlMtmPiSPcw
rQm/ASYpvgkd4c2zdffA1bhFZ2TfW1+oNlyfmKf2ftVwgN8q2NigDmfDhNU0gxvaS5o/RGgfZlXe
TespQtOirVawMR/WhMBHSOVCLkbSdcATNX2cuZgOJh7Dl1QvUZFn4BAb3e8g9Jd9K2A52m7hqYRV
NraLg6mrHwHI563L3UmkGnTaMsKYXQi+etxuDgf4qnEaLtWYbfEBChF0Vvjq26USLnFYegP4HdrC
qAx4YSKW+eyl3ZabxCp7LeLIsSqkQmUHgBDq/eozA+rYjHhK0ADZJ6IbJooBBfjdHJwr3oURNhao
qbe2SCXPgaPIuW0qbOgdyCu0S+73AR2AYk+VSmvpANhVSTi09T57/IygwOmAjQyqcon6sS7NWMd8
8eVq6PYxw2rhrrwZtar62bGHhWpjcTlKZxwIWnSBhni6SXoeX7GmlxkwIb4NhYZ5/CoImvjL1rfy
0gdquQer15VgwOLPcMXYETpDlm9lS5dOl9lK2q2y69YtRa+Z4bVtWtZj/dVJf9VF8UYPJl3pc8Ab
5W/RuZIJmgHTsBW9GqKPbQ7ioRgAYtxOIEzCOlvphkNBHsPVMPOQDvUQdc17Sb1eS+ybqOpQn1dN
omd2fm/p3ZqsaEMn8cRvWT8kLzMoC1E4239MlmF60WaaCuSMofcIohKglHAY8r3+KII1FKitfFAG
qDxutIW9Z0Hf5dMobHDSHSZ1pVuZ3RlrpktDZ3g9dCav0RfILgIesmd0jNsMw0CkX1S8J7Un4fLg
9Baf5DLBAN85tp6rtXAAOjOixZMtC7tYkmZMqz0PUDgNbe6PI41d/wC3bFtpNLcqjaFOyjmhtkb5
El2N29SADVyjl4Zv/iXnJirUYkNYJ6msB9bzH8CKw4pQYp4Yyv1jRHj0ZQKB/hLiRyiCDPDigPy/
wHPDbjxE/qNyBrOO2c8AlM29suHGC2amMMI82O9zEUhUNBEZjtgP9IhjxpJULAOcgp++XudYf+jQ
7KiYx0FlRnjEXvgmmp4D1pPHrknIUBJ09U9KjRGkMJCWMkm+bhbdf11LhX6Q/oINSg6uggYOF9ML
TrTToB40WSZC70zXzFjlF8bObJKe4X8GJOC3bpihNUBwnO7IBpRmO64xvBpxlUyhN80ptM3Q7SeA
3Jt54q1f6Vc6kkledBMbDKIfiA7NOVeCklVj8ZKgWaBpgY/o8qhNwwrgXbSjbGTh1pZapjr0J7t5
dDGLNPb0QMi4sk/piKgCU8xK9r7HOkabkFao88ApVMGWCgGghYCxAo6MMh5U1QYvNCYNMHZCgYI2
avoezsGWLRUETYB69aLWTTZQLFshQQspwc8QOcbgDBlEdGIP53cuYQZHmDbxqdbPE1u56yoIsQzn
PliGWt/ddt202KlaVoSJRnWoErvMX6zcXbQV+C2q3cp1IijJil01WBkQsIBTcV6iY31+EpKKMO+P
jfAumz/YQOwxLVrOJP4NLHyW+qvALDgwX3Xbwvu09GHOMnd4Q5772SAC8Q8G6hxeWYicwPQAPvws
zo0hzhydV/nXsIOL5G/VO04lhfykk0GA9lyZG4cyHIiOsyLTPYxIRQ8dZSlNMvrsqfu30PXn+/pZ
7cVtIVonhV0VcdIQD6EV/XxbLd1gTRJt9k1O6iy0DH+BH4PMewzEYIJc9oZQ+bMmf74ibNx4G2fv
MCTfc8TAP5kMNA2ZCeGX+D78dUX3F1WT0FFDml+yhlhAcC70ASwfbQex8q+P4u+gnL8V7r8CX/6Z
p/DPeIX/n9McfoqT+meaA1xJZ+jkPyzAL7k9/wn+/Csm6Zzk8PfP/J3lwMJ/4VeEwDdgtgaoyjDI
/87tYRlCyeMUAbHwCQG7yDDQ/l9wT/SvMIwQ0JTgBmBYSPCJQ0w+B/fE5F80hgwP/R+GjzjN6X+T
53Aeq//QvzHBEBqRkAgYG/4IvunnkSVWH+5MTfYiRi/RlL3MgZdCfcuviQVzWqBNNF7LFLB2lTco
bv7xrt7mJmgI7x7SKvB+sGfA+P1qJuGUvkN09ea42tjhQDKkgIPjvtogaV/8D5dCghxChQiEntdC
v046F0UDNUcEyEBQjiMAyEuj6oRF8//wVHiVeZKC00h/YXr2CKDYRoiBbO3bo0/2udIG0o/x2Vu+
7J9hLcThnc2PeCYgExgU8NP9/PF5B5NPT/EC85bncGPH73AUTH94l1Zi5F2ZTcgTmjmXsA2T6S3L
0c9j5++Ln72n5yzwX5zJxjdoSyljsOSRtAC/2dQjjpb/HVuDq8DjiegSaCgpFtvXLM8iWLK4mVtI
YiQF4xePOKVSP2eu7tSAxf/P4+Tnpfb8RilMeyyMQcRimLxeaumMI3UTGXsEuglNVervwNJ+MDEN
SMoZrlKcMt9Y3M+L9z+m4L+vCMNVTM/BEFH4Gh7ijexWBrTh2IWUIg8r7/Fh5VP95+c675W/XOUc
6s6yENkTyXlT+wfWRyyHBjlLe0xaB49qEFzDyXS3RTGE+HCgbzzT795i/I+rvdq5UcxAhYXR8MjQ
7iw41EbhBgM7wDmLJc9NoaX88ucHfGUn/euTO0danHFB0Huvl7KtAVGBzgcYgSYld2Qi/bOAqntC
q4xdgPxAzNf8kLmNlXNPlm8pfJiX6B5eWKEnSJq5Q4c7Xgu9Zuqr90lw2hDwUsTczI9nSAOtUVFG
ct7fWJii33z+2NKzMEIUB7Cn1yOOLSKNJ5SRxxZualmQYJVZ4T11NaT+M14MSR1szFoleHt13Hvy
KcQJ/x6NCHWbmR3pOErkdygcxBtzgf721rA+n2c4bF3x+d//MWi6HD77HQ2tI2pqHCsbWrUah3Do
HqaGCWp5gvsB6tGaQoic+n28BAKlrxeOighRZ8ahgTMWkizojeL4UySR4hUfGTIqYrFdCRvr2zjd
g9MuVzjxcT6vUEPDQgi1+NmubfBsoE+UedLCCEWC7ADDaQsSQbPaTv7SSA2ze9Db0nCaw4UJ6zeR
T3Zly60kW1JsyS4PGgFx1RqYuynP9ou5zUBfEBzCPO/5dYiu3odAz+7YjTI4w+U/5JY8GBTYaCYI
eYEkHHOH3zz+VVD99cUcv9n5fp0g4IlRGGDWYw/OXsfQoIlKLV3PH/rS3AbSNjBIhaeo9e/tzlVt
LXCbP8+P316RYrFGBw4dj9ehQDngGygK0hw15+irkLqPxNd8JNc6GQnkmfTlz9f7uUo+T0eG0Lez
9xfRUyh9XhnWF5E75IBYc+w2KGSxI+tJoEFUs1i/Zbf+dZgyhOngi0LwtQghmtCvhqmwiKhb3YRd
EAe6qymYo9O02uyNF/jbqyAAC2UKsovwDn+eDKCCg8HAiXAMcBrUkFPy4AKuJnb/5/f2KvDjrxeH
lK2IoVpEb4q+uo5sgz1KFfIMPVjAaoqW7pD6QVTpAhcp4QtMjgkGfpgl4lKzDzoWx4nI9q1lKfll
w8BXFyQpiDMA2FH0OnBgnifI/S4Db+b7rF7nvD/wtTMHspqWlQnCcU7RCNFTh9P3flqzBwR2rUdB
Q3eD+JTkEtzmm4kBv70nUKiImETHg77OQhEkCNBBSpYjejPjKdS0zkMLrW808y1flC0bYAkfe4qp
DEvCdmfPB11kC4FUZuNUZWP/HZ4adyuZr/Z9/WQ7HJjm1qjHDX7EQpmWXlCYwS7HDfRCaN4qLuLf
PgDSUkCzI0UHjcOfxxA4n3zY2IqX2mwPQmfqYFcinhqsYlB3s67iSxSWQ5Ya7Fh6uERczmfWZu9h
rchPVnFeoi3t6iac8nfTnk3vGdm/75QjGIA1+WFVYqtW2QXYK0wPByY6mW+MzlfA+r+nNQ4s/3mC
V6NzNRAaxLQhbTPoxCXf8xE9MT9WXRBWptVY5C3k6K4LT8mEbMhFoZ3951tIfv8S8dU0FJMx+oUQ
ZhvWko3a5Sz3GghZPaNfUFbdZ2QZgaCE36be+Q8ZUmi+LmdvmBMlsDEkVqLjVjixHOJwmSoIBdmZ
v1mHIoutKhtc8IikT6jNnYi+b2MUYanMHrNE1hTJAlUa5B+gzoALcjS8DmjUX+zT9Dlz4WO64UJA
E2yp1nyhb7zzX0s3yAMhEjxQIZxjgF69csS3wujVYUGYu/7DyMGgdH0V7NCjp50mb9SJv1m2U9TA
OHkiugG14qsTxQLsc9RYdI5KjD9yxIBh10YAKPF7/saVzr/p54oUjxXDaJETkiLH5lWNiNa9RRed
YiRp8R4yuPiAZAFwnsOG0wRCSAAwhGnALhG78hbO/pu9MAVDenaVYGNC4f3zNDSinSHig6W12faR
G3bvs/ns2f/RZ+YLjrxp9ech++/a85dnpQici9CAg6fm1UcISXLxbYshi2P4+GAT1D0bT6ptRAwu
Ij2+hxxJmm3vK7EpFDeEtaVbhK5CVCt/vpXfDiYENWFnAfGOqIyfH721xlHgQstxZZOpQpUhrbaB
3BO0kyhp0/348+V+s2kiaRCRlHCUwLfwesVOgUCLAXlLx23T/iiQSVXusBm/cUb87fuN0MnASMLr
JexVBdAtkZhA8y5HnJFhg3YeIuWIfmbKWXBaF/A/wkE4hGkfcbFcDOjJR30Nf93VDmHljfn666Ec
TdVz/mKIOcTo6/m6bpbuMJ7gZhzI40Zk4rDoHVTbJkoxAAtQyzAem8zEyLq04RvTKvrdDEY1hJeN
up2R12PNgNKJkzHURyRbNF9UhghZNPOFuVvaiA4FEjDAdoIxCoHxbHmAgjqde1qFnQLVPcxZI8sV
IQM3rkkAUcTG2KgE2L18+/PI+M1tIgYATrp/R1hlr5u7TcDajY7pfEw91wdLdleTZc5r1PLtG6/k
N5eCf4Vk+CYHtOF+MXm0XbSoWWfz0ex8+IGky+zdPjYDYJY0/B8eCzUorILpuaX2y6qmRrUbxch8
pHGr3wFtTQ/TlvErxCS8YQL6zSKGK6EtghIRLenX58Z456KbLK7UIve64gjcfhwEvAXY3fYCTB4p
yARw+7/+1KD/oysPE2KElKNXi7YQIRjdhs7HDVpnOVC/Fm03xJUOoVH++VJop/+6Q6DSwDcMwFeI
hKjXFTcDW2LFHmGIQK5BvNi2AUdvG7LuSHPhY19C9I2rFDV5D53MrcEBJ0fr6x2uj+HdwCgmV5ug
x3jiy9Y/x8r1TQUWhgEW7wFLFYbPzWdkwwY3Ev7P5SCaXnTFgqgLwCB4pKTM0omxKnd0jQ4wlyPW
jgZNfmw3ne01rI/AfoRsovdApPao6omn8QEJJD6tExAq8UsO2mv4nsLxE4sCSFjaXHnEnvKzpKib
p6Wfou3UAwMALd1GA7y0oYouh9374LhY6ZZbOoyW3RBAJfxdukT9eMDfg/UwrMCefWFJLuGUlY6I
G5aNNKssqDQ48OncPzrQnvxSj8F0gTykkRebAO9RwEfwPEDIB3JhydSdYCAWqmQWRv7DJttN1ANs
A/q6czhOAvvM1dofl2XNZQXJaPNQpzceXg3BwkP0HQYVV2qg5+KqReLX5wxM9FZk3PhyZ3DrPyra
BtkRXppuu1955h4Bd2pTg87NswdEIzHAhZsT9oQi1h9m5vP2QCCnwi+gxL6XwP7z46ixRdU9P7f/
YPzJESq5UPYEgbAvfT9MCRCxxiFoWyl6MTD7Dn3eg3VUfQCK17/0AQsfDHIuCj50/iLYur5O5vzO
9huiipeDb7LxAUaIwiHmppb72B5jIld4FuVwENZdJm5by1gtnzsJXz21Ma9s55MDmKdvJAnW2oED
OGNq2TEFuVjnpE2PJN+nAhXzDm48F1cLUf5LZua1InbrijFzn/c5pRcu8QCZ/YaA0f4ZRqE6hYf+
nuaDrgGmt/cSPsvShm10xYa+uUlWfB44LQAHavmz3xN6pEH0rm0bBWLP8xPPiSx9Jy2KCqSZI1SX
VsuS7e+gU55mQ0zR7tCD213egRcr/Ur0pfQevqxQAnQ3SH7ogPuVMpPwuSUNONGW3XNGHoag8XW0
suaw73ovt8DYisdAaXeUrg8AjdWnkS3h9dhkrNrMnFY+NPpHGsxjGRinKoaG9RFx8vSkezBKGcIn
TohRiU+I2kAgu3eXceQP0Leig6TbyxDa+WVs+UVGySPCSl6o52O9hgAltOUvAyBFjRk4sJOz2Xhw
AVw6sKS+lznjlwtPYEkTE6vDjgT4HOa9IF0ORATnhgdEt7j7WWhQEdZjX0yWa4CFWdF72Nq2AN6a
eVUXLDHtBSz+w8U4MPeDLOAn4GsCz1hJ15p9K+00I28UR/M41AKhVG0Ocn9ClEoRY/B8GGA99FU2
4xyBzRSLRCfs+hFJ/vIW6WEt2iN8LJiMoFkj+i2YzAQqZ2dX+MNUe0yImtOYbss121axLh+BL2YL
oMKYIxah2pdYfwyi5BB2AmRJEOOej1kQT199tkt1kcg+ttXAznjeNkUZuw6C1HSFzBjQin5zNLhE
ezZc0KSd2wut8aYKI8e+2tng3jfo6t/HfRe/58Mo29OK0KWa5u18G60xO0ytW6H4z2jGNe0SwpTG
UU+iv6vqbA/7K4VN9qtBBGNan79youxW2ib4NoYlfSRO8h85mvu2RBUw4PDNXVjtG/NP0JmGH1rp
FCF5wxJ9go6rwe8oepePsTrDImu1IPPoaFCxvGcb6T66Bb9nC3pfA7iYL/dzyGHrR3JCSPbyAV24
89cqLM2Obx+wGAlNks8vSLOav8KxIg/SB/NLNoNrgu/EIDrTG3logXV9oNMMHCab1rVKOR1MZfcF
k6OPA1rKkMhKpCktOxRcJztTCVeEj2ucSnN9kDg3DRcgZfH/Dci455mvYq8ZbSMksImVtyDJAeKV
A6TBk4Ix7zwGg/VSIJvtMRyavpgybeMDLOgqeB7x3SCgNZXMmysR77jVVLpnF3u73iCYSty1bGYV
opn3m8nAmEEagt+aqBZ+wTZ9dCame4FKZL5MVdPcdeuiPqF1F9donNE7oTFV4Uoc9sNuvTwg+g3M
B3Rpcdf3yiFPiTb0DpNoxqTCp4sm/HwphxyRAE2jvmgnNEhAHb1fWrzvtpMbcMVxOzIkDF0Emmyg
ieL5HZLZz8nuOGGCL96Vq+TctUe82faC+gG/NrD+PgIVcqmiLr/e3aK+mE3pF9fgve5ZNn+dIgF8
d0eQLPh2oPWXYLq3o83N8i1fF3pH9jlALvGUizvfni1na4pUlm/IRCf4ZgkVAyNDqNQKn9B1hG1Z
VXA9iDKAKxORmWPTjVihLF8KJL9F71W00Tt4uPmTShtxm1I7fUpFKisDeg7cPAjDqHAMRSS1SVwL
ZFBdbnBhVSKw7koPeHiI+v4JKchYFwVvLxKFn1ZhIO4svoFiLxqGiLJixLe+3JFk7k+IlAXmaHI0
capWrvyyGQz+A1KdWAFjZW+qbleTLXbMc7SxxuXDtqFpDfhi+ZYJQkvOt/4UaXMe5bYB7KnATjzC
wueeyWQszJMTbrKnoXxAHo36nHRN+hjk+wyL6rg2d0jEGaNiIaN+6efd37N0sf/H3pntyG2sWfdV
+gVocAySl53MOSuzqrJm3RAllcR5DDI4PP2/KMvdtuy24f/6AAcGfGApq5Jk8Bv2XvtZr8fsmiyX
22xD78ZJDQgJtuKDMm3a+q6r4/LQqvjWxnXz6KXxdKcD1P2mz1Wy00bbwdrReuHVLFL70OhxeSOs
gb+xmrMrJfv4BKlbfsyDIuZjbhmJbzQ8h99cQNaoLPs4rFbMWyQ2S6ENZSC0yi05yedCCxJNhFc7
puVa1YhcpkOhFNaZuOdOmrWm5egVNncaZ1Z8m2dpZWDcnas7DWE9UuUp51rrIP1wo1mVVwbYbr9V
BMw47C4KVIbF0HzTqtR4tqN6WKtBGl+FSvs+4NFr7jkt5m+Vifc6EGY5ZUGbOv1XaG2zwzUjg0ar
a74WwZtc7vQhM9oViQHG42zm2tXvdE4zV6ivY+0193D9GPw3Zn3p1FS/Idxu7o3Oi27hLkBF9Xtv
nUjPOnCO+QjF4XQfsAd1Lw35K/p9q3mSM77KCudQTRVfHoSHMz1xuK37sOUQAy3L3LSzwCKGlvdp
ll53CYs62ilc43sbU9qh4bV5Y7V21q8cN0ruhC3rbV3a8gn1OvaSOf7WRRX/l6zreh2q2vrs+BFq
qDqfA7x/GDwsLESOssTO4PtasdG01xmJ7/Wqw9xzBZc33lGEIHO00/DZzCM7yLXqAX3qWbkciaOu
J/QyWFOG3k9Bq3hHtFzA/oq65WMzcasPhXGJ3YJzw5pZr+uJdh4FxoJycsIHEZrVwR+TPuLQLeaV
UbJsbAxHP2CRPappwgnCs3nWo6G9KSO3PEZxiQMb/Nh29Fn/MUJ9x5jcHKBdjtesUtYHqt5jk+gG
R5rHPyzZbEqEs8HY2adxTO0X6m30fRDAPoPWY89UdXh7NfPQhJXLtiymIFVpNb14wKGvehkPW3hm
e1HlzdoftCRaJU21Ryz7zvyveMNFhCTarfiSTA03cirocAJ3mux4cQnIQ6bp+K5CTb/NCrveyr5n
8WX0KECnYbizvQyFdZpKbDua4Kjzo2sPggIJd+je9TqpQAymJ4TJof3uJ754FrLL90niPo+pXuwY
l8bUgZRyyBIJpqmSIT4npH0ElWEeQmKQPsd6OGxxnOg7AJqAP5PeWg+KhxG8ZId8nlFhNE3iRHFh
v6S2g7RxrLY8ThzAVUp3GgkScFBL+d+whZgvY22TMlH4M6qFwn5E2Z8GIzXs1uHsOhWhzJ8Nx3Xv
J4C9W0fJESYjdeEK8zlQOeAbX2dWTWZQR11yaVJug6SE5YbescQdXNdTvLILHHhjjVaVBcLKn5Fl
9q6goLcjbLXTmB2jodx3GZyBlWNrhCOl4/2smy9dohVbHkXkdnNKoYZ9hZCj/lLYTviUZxVlhq22
GUdguqq9Lrl6ejuv8ed4JzkRjBTq8SZ28myFCc25LWoHmE48+AZLi3w+TFOlzsLReO0UnpbxwIny
WEcj/rrUiitAjDMkV/BktKUgHniM2KGpM9rP9LUwbbEjM6DklTNimm9mkPtAebTxzsd3cjMxzKar
cxWeoB5s+tEfEv3quCRW4Y7fh6oLFMi0c85VPslyQNttVznL0aHDUy+7G+a+cFFlugex6b/67Ezp
c97bquyDInZmmECYu1K3jL2VUp3xOk52e6hM97Mxi69hWzWfqFjzTzn6Ww4tqT1BD9S2luqjDcbg
4h44sLfO0emy9Pa7Gfwr6mDKoXEPYk8lR+zwg433V5fu3s0Mg3eMLapbDZdltCont7plfFNBz/PS
CNAX0LWZe9RJwbCl5b3ZeMW9SJgj4zviAIWL2X3k0tQ/lzKNP1AV46AxNf7CBhXA0WnT6mEiOXp4
bal4uG4QK7dFLPA8KU1Yh7z2eKP4ENl4WzI7m3MDkELEQPJQEeLySH1MZ5oVsX2MslF+FFnVfche
MkSQU198y+ySqYKcu/CTLlPjM+gU3vSVPY13shnDT2aG5ymANK5h9JtD+aE5tVaszBl87WbOnPIh
b0YOBhmPQ7V1I/DeW9sfmGj0Y8ztgYeRAqcq8+ohFn0GPgCz2yfHcPgzfj3mLVhLHwuEXercRqWF
kWmtJD/lJnWQS61LVFouTQwsQMKq7FKektnp6Bv1UhlxMNRDEm0pXvmbZ2xF1cEeGD+uYxuG2A4J
KyVAx4Y0XNFM+TdprNsw9dqCojUPBVdJg48mAHr04SfVKiSuUY/qeRVGTvHN7DEJrfrGmjDEInb+
9OuX6SgtQmXPejIJgCujTHMNsOwr+olqZwFBDeCTyCxgFsRXbxl2+eCgHyt3eZIy7kFZkNBgYtDf
1wZToFuzcUZjCzvBOU0Iwh+cAUUFl5B9azCEDb9f5jrMQ9paz9KTRMWgdsWE8OPsq059U4LZ6Ko3
nTo+C81Ajj4pc1f2ZflSGD6EPNdvcJfXnv44xLWcwHnbRnhr9/zSe1Pp/IxU5fzUSRly8cQ0lhr7
PxBiAdeEZ5fZfzytmcvwLSoEth2HhCk/EroX8GcDFfEklfyapDLNd37fNiwwfJLAcMUnGB0JE2IA
MHA5533J/O84kIcEHK3qqOic2K7Tgy5ahih4tfOUwyXBDcAzRcPNS5j3V1D0i9WmxMhExMUMqfg2
VhjAmqWEzN3SxD+BNvDJgH6wafJKP7KTbvdD0Vv3ReSNN2iZkmcsrsPTYNrq17H6fzSofxUP/Lvo
SGZ/rIn/bwnqf0MyL+W7/INu9fuf+U2CSnw0kS2LOgIJ3RLO+D8SVJ/8YoNwEQGonfQdx2dx8psE
VRAjipAK2THVD2GiTNV/SFAtiwRR9jkEPUIJY6Tn/RsJKlKNP855GfHyP3BdrsFO/8/hMlDITbs2
e/vg5B4YCwdwV1t2ajeD/T/mUePsZ0pwbPPDMH3Ah3FvnMzGaomIYrhWVQ+KTtbae+7mmBxZbV5m
8IePIsXauxK1IAVM2u4lzpW8TkRNPhbSAcTSq+RQRML4VNUhiNPUTY+sVTbE3DSflUzT/ah5bcJ4
exhxi/X1/AVaMw1HiF4rCMfMfIDsxVu1zMtT6Fr5rrckpquuPFfM/gM/DzEBpEV8NJSEOJAUnF8F
b5K1qUXuEUIrtUmYj7dV7eW7OveWpztashbFaN6PWu8Dx8n0szElEBGAUKKmqqxma7pGvjMqM3o1
qN4uBlWDMWKyC03aCp0S3BBhvyobzLUrvamtb9ZE/TMUkwg8Q5Vm0BZtB2DKsJFswgtDp4ABqs2T
fufkev0xDHyI1TKtapI253irsqfGTgXBErmd7upiTPc0SUi17AHrtjsZQceb8KXykhCPTDzcd1Uy
f/GnYXpFjGrdR1Bx9lAG2ouwKKrQAcPCxZK1xTTen/BiNp95S4ws7CJ3y4he7Vwj49egsFvZTKJA
Og9wUjK7/9B8a5W0zhQwXD8R2HWwAUNvehD1MI+rci2d8FxkdXHQWPthZ2I+01TzC3ShZtc0yvnG
bAULXdolp07Yww6wc3gwiXC6I0dnNre+RpkUY2nQNlR7/YmWJn2OpsR/cxtBUAbkZozdYnio1dA8
+qGdnGeUB+dB6rhUe5z6L+QGyJu01/MHFIj1DqON6a8GpglMOHKXwduSqzkjcD5HvHi2k+uy59Zq
z72S22TgBewoihJpqQVppN/5LfdKFXUiDNLZzr/0VLuXkFC8PQwf6yS6Ot8VtcDC6rnJawMD/FJG
tcPyI5/3I8Pgi64p62QOzsIVraJbCMLyMZ0tPwCtlR8KrWf2FC52+9LxLmZTm2+lb4hzE9nZAZh5
vU/THA1Hgf18O9hMgfJ6OJnxYHM7Nu0elQxmr6h7j3u8MoApMmNj1qH7Dv7kq9OMxYGVNlCOaelL
m9Deul7NZJiXybNlZ1+mwaoZv0S2+eZ65SPt1vwsZc34SKeprWLBEBCdsXYk3QDBg48h58KU3zHY
UYrmnU1DeodOj+kFoGH/Cx6VeFcq/lA0J/mTl+hFoCyt3eiKSXYacREHy0oOogec4AFRRt4hu88I
jlTL2NN47KryEJmDOFZDsythLQbw1YoSaGua3SOTyq9OmO/FNHRHEc7lwc4KbDZ1T13AYfnWVX5y
cFlObTFyN2tXdlQ45Zhea6nbX2cmpYGVpXEwx7CX8Ktmr8DPxie3rLX72iQnlwvqAuONMyg39Jh3
Wjtuh1w0p6bFERj4/tbp0mIXsmE4Y4piDZDfqzBUrxpZg8QFWMZ9qkOuLgkmkUE+6OpS6qr9YnX4
QkNbXw/6yCrGwFSlcqPXNjFqq9eOYMR6VetznuBimipgtlN0O8sqY3rTLePwyXGDVo1isQhBm40I
Z+vLWeJLrHoGE76vnqKZSSwZsz5ewzaCDKHJJKf0bPVTVDf1eSLqd2MY2mtKqbtMs7DKJbmP1lU0
euC3JdWhlrwAgNAPuY4JsNLTZmWmWfU5B6R8CqvYv3ew0h6kZFq4AnfT3SedxtTVZeaAsfNd0Ngs
MmrvTgfy1ZFraukX5VV64IXFnNMp5GIDOMh/9nlrXGZ4YS+tZyc3xaw+0RSKPW9EthqpVBcZ2Qm3
0pDeyFTAdJ40/6bo7fauoxs8p/rQ4GZMcogVDC4RzERbw8cKP5uYChzZWC/ZUJh7gT53w8ys2tLU
ml9nN+rPg+PX70z7lpcLqKLXuMiTJzppla9EkvlbK/WjHfZ87NZTNASaEcZ3xrKShHLAWCpqxge9
56svacLW7ETrjRxN7+QtFq71mDNvstx04EYzBth+tgMoSu/n3RRZ/a6EB3HI/Ll+ynvYbEadbkjK
mO8yZdmbWinIIlOnz1iGtZItVzRulzDgi6Ei8+gbUfYJz1+2HqA3rlBQ6OeER/xE1Fq9xwtBaZ41
rf+WCZGsi3LQX/OwDfecTPEh7Mz1hBnmbkZ096VGD32siVraQhORtwb9+oG2Gyg1lOL7fBq8p2jw
wq2hN/pDrBIs6YyHNCgumthasdte2qmhkZsBd809x3/fdjPe09GOUEcOxnoGnbkypXZySt3E4V0C
woA1vOSAagyF2KVxoiX6PW6rlnd/mkaPbExhaqU9IJ2gtPzuvomafF/FPNKrsXazbMXsH1O6G3rN
Nx/qzIF1sokyatBuEqA2QIGKO6VKRMNO/+a0TsQCfjEIe/3Qf8468Qbf510P+29uPr8RNXYtDbym
IO9rPq8pDi2e403bJI9mE9XHOnbdR8WG4xl/QPkF+8740ob8QcUQlFs9YRmeMSvgt+iPdSORT+9y
MQKJOlNqsT3Fn09EyCZBXG6DHEjimxHF6bofxt67a7pmEq9ShN96eKweQTgDFw5enVlvNcBbQVjp
O6j99bwrcCmek7rRqreaA5Tay1fw18Ns2xAYXRyZW7Q4DVNzTZGXnYxoKo99m7hvzuQ0n3QXmcJd
OMb5yY0do31cJufhLp8z9OIBVBqoA2RVOekHqy5mBE4Tjs7GiAnmgXUHf+nQEFO8LjV9wgFSseIT
8kWysV61Y5SvSYdijR/ZL1jfhr1IapJAiq6/8F+OWx8OdABp6Ji09g1x3CzIdK1yVhnUq2fYE9qe
WuSpnON8EzMdPfIGAf3PQA5wXW4EUWlMFxVHzaXlah7nDpZ7nAzvNsD3Y+sLjYGJ1u9QwU5Y+Jdy
i+CznnAOqz0lySELaScFySdV2O2BFyKybrxkJxFoB1No3xeIhNZpo0WH2SbGBv4cq3pWBsdOB9Fm
5ITqwvG7iUMBSSlym0+9JfIA9/y0SxqV4DCX/gYYXLhpk7xC1sRymei6jBdZWIOe4jLve72mLc/N
YkeUqv4NFwhldJ3VAIxWaGyND+GVwnuRel+68ktvu03mPIUNTI8uSJo8IcLhe2vynybuH5o47ETi
b7u4y9fhv96gpP2+i/vxh360cQQ8ew6mJNdDvOejm6Ih++EkdP1fXLSUdHeMXGihBJK0H22c7dCr
0dmhGnANnDGLiOZHG2frv9igb5eoMn3RevMX/paL/cPB8KsjNPpa/YWj4SeRFSgFBhNoziz8Bb4n
frYxGajIlK5H1YHBMHEHWRk5t1bLlopcpn/yDf4kYvz+WSgKcQ16vk0n+pN+U0kdeItnlAeXs/4y
q8m4pNgVnye+gZum+bdS1eXzCBMzSRR1MTVRY/5RNNlqpGEz1uHzCvBHq0EnnXaVjrNx6cZlDdOF
gkZq9AzypRgF/q6b/4sv9ied1/LhKCeFTaMtsI/+LFZtNF0y3m3Lw9x23UeRo9yB3ai8m4lh2HVE
gv0cmvo/qXP/4it2+LZAwPNmIadn6dl/Z/1h+JS2g+fyViqMZWUTdx84rZMZeAYrnEif/vUHYjXA
yMhNRH424eY/KcvSBYJrQhHex1pYnX7tElikAzawtE/E2oi3v/9ajT99ry57DhTk+G/5cs2fNaMT
Svs5ChckbTU21O8ilObtPDe6ggRCrGQAF8UAJoGKAAK8caV/LJ/LGmRwEGOLosVwpXvtJpMzvyU2
BNZmHcsbY/TH18n0/uEuYJ/xxymJzQPPjJtnHyEJI5mf9X5lQUhpyrtt7+D8sB+1wnTCk4xylHFR
RdMIWtoYjuA6pzxayc4xHnkGp6sG5WIP21qI4/f1YQHS6z2ycBSsGG5zL1G9kXQJc/UCX5hxhdLN
nDiLVhkXtCt8D7wTkK30pmTKrLUJ6N/JnL1tzTD1AgqD7qp39epUAwa8Gp0Y78LER8c9tygLPnvK
qplptvOoNkQLmOmptZzxTnBKiDU0+czfp7rS0H7HPktl5GnccmFKOCSYjEljsG8C3Ta+LvUP4xwj
SdLx3Nm+su/HchpuSj3Okag50FIUQnOTAo6DoJ0KntORVdGdNnQsRKhLPXZKTf3Ws/R/m1vdOgjC
cBA/KVW/eYWl6BkkecR+M3N8jZCeNqnROu+gL8crIg7WD4UK6zcr7sar1mjGo9MtK9k5cd6J7TXL
Qzn545tAgNIHDH4pa2TojFdaBn7TOrMJHMolHwgnm80nm7x23XuD8573fI/erPjeWtt47H0u2uw1
/jNyJecdJdh4TSJe9TTUjrWdqqTzAn/UGPVKIo6uv96rcUp1H8QWHsJzsqwfGPAyNEYdXL+Zk0IZ
LQdyeAMN6G989Fm1FgciVhpMmQLZer/pGOy+xIDUnr2a83TdkaY2btDic59QcdrvlfTqtziCFxQ1
DPj9CY9enUNOW7HY4M7A9KwFNuTRUwtEBI1FXeFR7Kdlay7I7wCTJdlqjyljsKjKZqJ2iIuOECMa
iGfiZbc11MvvOsBlYcRftfvv3789dg7sTM+GHuaCBfK0WAYNocyX7/8NeKEyKCY95dyYY3R9qr5H
Wq3WQ0SzDLmQGzheHg9BHlq9R0oYhiewQnodMJaDpt6Mnn+1KLVaYmRpB8Dj5J6eXhDEyNpZeUVm
jg8MERF3oZEaQ7UFBTitQqYK1qrME0M/DEbnqpG8La2MjxLOqbab9D4d1g0iiPAK/MTJVzFMSPYu
MdmmNybBK2/MXocPhQhSBQNL0eRumKhhXyRff7yTZal20iTzdYUmD/kDIHj0QsSgEELp8D3Lx9oK
Y+KnGO6FpY8Kw0IEGzfjgfmdvcWoYl0ciOqBUsM+9KfxxOZ+fBTEhgVxHUIbIo7uYiPGCeBHGK9S
N5t1TXLkikmBcavhe7wOcSPZo4fK+dRR9NrcX3LAbuon40nBmN/bXhWxt9FN9oZ6NV+8to8+IJUY
FxRd7pGFl7jUeumzFJptBDflUHDBRw2O1QxndbeIpT/8BMbLGupmlKy5uf2jjXIU3ICtQO4brhs+
W6x3iHzS7Cci2pnAts17aYCQTXO8HfsGXa7iP7S46UC2cUtNGWr12OBfVpzL45XXHPeyGZZxshda
yFsakclukl395hid/1xMMaw5N/IKZ+UoNV5nRk7PIwi/C5vp+m1CaJuvCHJ9Hysvek4dwYFZmdkj
pqf0JW3JdQ38ySEOWIfSkuA6OXi1v4yr/BCyHU6LRwHCaE5Y8xJRYzMqsFAnHx1IJf7LLGvjU9Fq
2nyYAXl4Bwu0kDUERi1HBrEId4/CtKzPc6QcsUG+fPxfzG7LKvNAptkjMqzm/we1S5Km+0A3n7lo
PIeDY/WaWltDYwS/Z+6WZnk7wtLst7NtkuX9R/iuPZkNXoLcdn7Ad0tXsz9DKOa/r3ljtU8kLprh
Z98bEnyTRMlU29nD7rIyo6ynLSKk44YZSM9XV4T1au6c6BU1aLVnDemhMLP0dcpTxVy4brMA5aN8
IziUWqTuHPQqGIWDzFBcVgIbW2ZK0uawIOKTKYEnp8Nkpd6FjANeCyBLGcrnQn7oOes0J8Trs8rE
zE3ToBi6ykj31hFZw9xKPXKwdRRXxoUMdM7SBpu2XKU+f4+ChrsTHZQMOXBpgpzgYbBefcrP5KLT
XCU1JjLoAczeVqMV+Tcir0lpiMyM875V7X6KFeegciIpd5AVvBtgzVqQklKA9JaXSRFYLvtmAEc8
S87QoJmdeI9XLR9shbP9Pk8pB/73I9CNEfhsCIZabv1Bz+O7biCCfAXV0L4Z+l7fsXifFXIJTX6U
FtjdlYGDFA7w3Djvbs77USK4HdYF8uN2TbAlS+Uc1DsVw0Rfs/v1xzJKh31AE6NHOYba0vS76A5O
Td62ezUht+rUsgaHorYx5rycjiZjohJE+lTY45l0PjbhOi3828CUOb41HcVPnRQ1v+ugZj6SGc3k
Xm2QdZK3hWBSXZA9GTVs8AdPV2RJRqMtjn0GjZvu1JkeQrr5NxEbHKxTq6U3Q93S2P41btlmJCQ5
F13jIa80pk99rH3rWoQocT+wiOZnpspBqO4/m+PAbeHlLW/yxu+MRzBji/SiHUv85K6dLVqFZPlG
QV4B73cQOgd97SENQefVlQ/hckVTJIfvc19wx+WSy0hmJV1DZ8460GiHhRXAVs8J9WdDm2B28T1R
Wj7Ab9L6ByXGHF8S0pso9q55hpOGV1UNcBmqXtRMyaLT1yIDvDDVMjMvcG8r16DcyHVCjhPdBvkR
5kWyJnkLEqpAoQ0+kxrENWP9mGFcuIBjVMjnYkTH4OjXI26PY4668Mzlb64VKr5DpmLtFfEHWgyo
wpDxY149JILvI/gLzPpdbZv3g8PvgdC7ZP280l0fwqoMEc6x+fE40q026pnjRQZUMwO03Dg2h4p8
S4Y+uXEtSaBgE80hsUoVA1EjoyLpRJF9I0fS2XoMT/Zo6AuGPI1CXlbJIeBU+Fa2yPLy6dYf8ZVz
X1MY9I1+i1RWv3WKSa1R7wVCTsV+ZK63oTYOH9iSTduUlyhTlxhoK4FWcNzt82j25T1Xm/dyOeZH
3nzFzi4yDaKi1QUeUJrIz889HAO4GfF0q0919FRron9rK9O6VKpIGetHOgXk2OxyP0f4oODlGVcq
P3B8EOa+OYhcmS9BM2TwSPoyXIQSal7o7bV0Zk8iuCB2zyO8dRxA++Q86Tmhbmz9anTzoZKriX0l
JwjaKzQ6cc9p2KXVCb2ghnKR8f1ZZjk3aRFz2iSi5Y6cFYgDaGl5LO+mbEjxFFJ2r/++jWJB/HsX
J5k59CUupjv8tIwgfm77Z1ImfN549b52vhf9Cgrbql0K37//nD91P3wQrmNmGbT9OOt+ag8JqOj6
tOrqfc74M1n1rms8NrLVWPxgkz8Je2ldvh+Hf/+5P7lUl98PhxpWY0FnCqph+f1/1wfTkudWWiHX
G9NcvHcaoeGFHHO2Mi5xx5uqKKerEDFncaOWKvfvP/0nK+H3T/dNumIecH6In01yk0T/NcDF3pPI
TAMCHR7B+3Lqpq7ktO+imn/qdUtbslTe0II43L//CP+Z2P3DxM6ysEH/7mr9Cf31+LXEAyK/fv39
yO7Hn/pNeWH8Imjkmdn8qp/4Ma7z9V8soAoobj3KUuQTTAb/V3UhPAO9FU2+jS5iGYP8prqwf2Ek
i4gDyYUD/4CBxb8Y10FG/PnJBQYkYIzhKGfPzXTpj3e2O7WcZoNTHjS4pka9Y8ESpQpU8MC6vSsI
5lsRJGQON505TUGBtnptyNHakYPt7pvCRpXuhJLUUsclz7SxxeOY6dkG3AKCi0hggx9aa4PCYnwt
OPSb9YSS691nqn4waz0Pet8Z6FgiSMSh+9GXdXdA3xntnKQEdsGsIDDCjFXpDIxpYrS4cvGs0zj4
IyLQGAxnXnqUBulUvdp1473DwisOQOrnLYaHbQ++fq13Sg8UMpBbgx3cvoTi/2jGlsLzKm1eQXCt
qleks83OVNp8lCqHbsy7TXwOPaJ/VngScsitbRSdqxaSZJZ23s2Yzvq1H1pzXebuveoN/6ynLHu9
Ioo+cdYuW+pM7We3x9+QNJzAKM13rRuW+yGh2m2t6b6qK5d9j1luhZZN2BmUcVu6/jEqs7VTjdmd
5oW8f0IzWxkswzb5gv7ts8Z5YHCB/6mxdYDltk0M8igPvZw1ckJm42hnsXbMJULyzGzmIOblspap
Xp0bEZNMQDyURi7E0D8aVKgbcnLdmygsnJ1dG8WWjCSHv1XO97Uy5dlNtHCFPPcR+sj4Zcp6sWHL
Q7fpZvJ+hkjA60nkW8H4bK3V43S1k9T93Icj8NzpE4hauTNqK90jKDZ3lNDhs/KSapumofjwYPJP
534y0zP6P5CNXj3GwTh2xQaHm1onsQchFbzllqo7WU8AwnDOOOYq8jpKc2YPn6G/D9+iYfK3SAVG
oE44lDY8N/a9PQ0yv5nS+ikm5erJG6vpXRMsp1bl7OhnokbVCfEy7utC5yInPhvbOvIkLXGIoHHO
YA7oorzFwFOdOX6fYgC4HelMdrPHJJndj1WjHb3SUrdm0VLvNIlA2Yw6BncqGbjuvtfYqm3xZ1Ij
+kCdMkzv43AUybxNS5OE7nlsLfDdtReYRhPFuE3MYsnfTsn5Qde4Mu1eLwOsWwXNGO9YKpbIpXek
DiIyrLjDn7D3HaaWMdnE51aY74jJ3fCmsfIxPtVG/iKS1r0WlbMLNc/QDtDU7dDc5R0QKZdJ2VD6
X2jJm2TDKn++Zfok72RvegVIIPqLG7tEQ+R1/ZNTj9Zd6+G36Tcoah4B0KQbv+2NTZQTxDJUrlmQ
yCTziemBqK81+lGWzwl+zj1b3ozIIPyP2bjGcVJ2FPnCrZgMYN2UGg1Haupsq7Hpg7av520o0hKH
WRWF+tvMWIB4vFqLLs3kFu4Le32zaTfSmYx7yDN9+MEmnkVXMvsrTrhVbNiavdH76oE718lWHhnp
w8pnqIYZUi3Fkd756WcXxLG290qlVwenygdtVXl9jxj2+ziKTWVvn4eoWMYCTEozg+xO4r0nIyIv
u6OfK5thvCs71/6YbKvLdiYzZNbfU+OWa6UlGFM7Iwz9TekQHIZMOKKXKEZ8MTiRmS+io2Fapg84
szj7lpd4FlLSmb4sKPuiJEXbj8WtuqWRNCvBFLqJre6U5YOjr6tKacydR0ixuGjELaC/cQvDln/V
c7RjrcN3HAjcTY9sXcxTy6q4RQFKpgt5cP5ASrMlznjJ8DckeI7xK4drJ8vtLjB7y931hol+xlXe
rgL3flea+c0cEbkGA9ipbsbYiU8hE/Atmd2k9ebMrHmoFMvhdQ/EfNWlwjx6bosdtcQY7XUp51ck
kg2hb5a21V0i7kmWSTfClDNZFAMgV6GV5YUWtrp6yhWXjjXSm4OjjjgXyz+xm7ZWBP4aa0ILol33
fc0/f1/5F8v2v5maz7yjFm2ZLajJ0AjgVUUuYC7KAczj4ZZRrvfkLLoCe1EY6IvWIF9UB/jk6F8Q
vh4VvcuXeVEnTETySFdEB47OcI8KXX/NXCNZk1vkvSmDqB/mYagd0kX3gE9jPjNiRczSjNi64F9/
ilnqHZ1FM8EsdNstKorxu6CiAytY0+Sgs8DyOd+BxkgZafo7CZP8CZZPB3BOsU5uy3nnqALZRkoe
GsJnjQHhoupAqYnAo120HgnE/I0PEXJdg+9aDYsmZFzUIeaiE4lAtd3Vi3ZELSoSLK/RTvALLAYa
RCYGMi6ORpQn1ncRilr0KMozu7PhzsZX1ZsVKiN0K5kRGnuxaFkWJ8XGXPQt9aJ0YVhLoAW5tZds
0cH0iyIGBUZ7R3qxf0OLDTM/LlMSfgBgNhak96zCMOCYudjnSG2g+Cc3+Fnil3DR4ZCs5POXSEEl
sMh0+kWxUy3aHTnifwuSRdHjLNoeuH/tOzb3oJH46HBNd/ftdzGQveiCCl/690vo+slYVEODjJC+
jIWOxKXSD7EevYSLysgoC53iwWVmpU1okL7LkXSESeOiULKR4Z+dJNFP1ncBE29/mmPNqte2ESNw
Go3uSTP7zlv3kunNyma0CMQbWeF3eVTDLg9wOYFBqzIi3rMpPJa2K7IwjIiJlz54zCF4qFvVrfEN
OO/miFtztOOU0ZGeLoOnFggrT5WYYvfBalOPRpnZchLFj1JMdXL/n/q+7JJu+of6nn38gpD8v3XV
pz+rqn/9Iz+Ke7TTjoe30WF5TmdoGjRvPwp80q5+YfQMzsFboJ7gNv+nwF84ar8V9OIXeHUQnXV4
vp7BTujfFPSG/dPKFpuwz54C1caCwKRI/WlL3YSdl6fRKE6FWXtGYCIIwLZsDNPAdEpSwjRMf2ZS
1nCpWHDyq3IyyJJwdK3113MHJZjJWKNrBTsMYbXjRqNMsdFvhT0Gid5SDjzgJp8xnsZ0rO62aFVh
D5eOtUQ84khnoBHYUhNdtCVIpxA3ym7kl//H3rktR41sW/tV9guoQ0qlTrcl1cHlcrl8AAw3CgON
zudTSk//fzJNbDC9YfFfr1gRvTqCNnKppMyZc47xjSxCEiwTJ/QNAl+IvrGdXY4wYd6BkAwg5s8P
mrssBlElMVFsjWeUOro/T6TLXhjtChMgMxOXdae31MSIrrtD3rhDc0m1MHtom9B73+WLGftt18Cq
adsxra/xGMeY8WfvSQMYWHGJ2V62yssF0HvcWjhSyU/amlXi3mZNab9vHGcKNK+aPiRkWVwWq2eb
G2aLcUOMTSLF79lvKhNuzaavtHqfLUV+laIu+sBRp3kSHdkDG6IrvE+V537K1XzGCQaiAeHpfMU/
wptxsE3cxIl+4IxnbPt0FeGaFMogLb3mbkhxBvr6PANSmyLOKLJ2WAgqQHDstCFUtckgW6XUqP8G
Y+gYUBSol9t52i+LM995nZiPmpc2GEmwg2ibMNSSQ5ynyWeeB+suzcbR3I6V0G7jonT3yrLbQ1cp
4zQBj3mMFyfZL9S3l2qRjj8qWt++dHuCF61RvNMq2urkrxBjVcloCOhXV4DqHOdqJJnzmnYxTTeK
zGFriHKgpTgyJ9ZCJhiTuRyojVWF6qlZPmgkcu7cJNf2yO2WKxkLhPWFcK5iDqEPKNjD86A11anC
+0MfbgHjp4bFht68U6Pswb8z1/36/30m5BjfaAw5Yf+h9XUQ8DWMgcv2mNYdjr4j5kH2zsCB9JJ6
O9Fq965mrHEMZAGiPaOKCg39039X1P9kRV11RL9aUJGt923yqf+f6sv/+FU+FB+T5+97J19//pva
icUR6D9dDmLm6ZCsvZhvaifnL8NA+ePoJu0QyJQshN/aJy5LKmsHWmtUQdKxv2ufuH+5LJE0PUAE
A0Dlj/6gffKaOIYpRrd0SRtHsLrbtH1+7J7M0JQN5PX6IePBLqIveaTdqjm8SsEFlVhJi0Q/dmjz
vHB4wiVPzmz3m86r97o1uf4KBBGAYuQzCwBrP/4KFT3L2nUjnanQTBEln2avPnVjti0h1mRiPe40
64sa4ZXPCQKso3TvkGC3ncR7kqMo0QJ059GNTuZVUrm7nqNLTS+nie0Q5QAz1ToNNOzAdBg/SRTX
SRVvhhJWXPYh7QQCcOKNJJipZH7TLdU+KZA8aNvZIsa56tdknMw+IafBX73ofTUgHulMM9AzUB1m
+XZ2s03LM4FNzt0UJjoCYcIExoeapMud7DtGHbm7SVztxrJSd2P2ZrftshOay7s8Zo1R5KkJzevv
bO+9YWrbLnKel47foEiJArJNH+ygXzQkpcfxdqjyYFSF3w7ZPfO9x5T8oG1G+2rs6w9oQ/U9sX2X
qHOIqymZtQIVTjO/sSHt2Au/xtRThZmkRxXEu+yz1MXroE+fSmLBI3voTmU3WRv8MwyuOi627Ig1
vo3WYLn/Li7/yeLCa/ZrAeVt+3dUld+vJ//8yD8LimHYfyEt47AqPIc3dg0b+FaurZkKtkmnH3OY
S7f9O/mk/ZdAALN2XXXWm5dl6Jt80mCt8aRDBxdUqKTD8CcLCq3FH/ux1IvrFAWWD+WgRU34akXJ
ugEM9uAllzTzsAD4REMgWW95iW5JvJb0tewGikSV62W7o8GAb3AzEW7pZ7hJJ3VuTAwjGyejK8Sw
POvN+9jNQeK8s9COZLpvZ1Ag6lWfHi2lPl36vNE/0wGbdKaCXQnUtzWAoG7EYFS881UsMnfcV54E
BxY36RFTtfHFZCheEc3ZuB+1ddzBuxsdnUw2m6qKFpAIDg4ZEmn29DqWwPRyIAVZQrh9adoD5Ank
Xejo87rFRWxKLOG69tFVNp0PTPC4kj3nbKP3v0qWJT2pTOKmQcLxYUoHsZV6TXgtJ7j4vnXcLA4o
XubLCDDbo4ycgGWZWOk09PZLT3xpk9cBIoz4ukGqTj0V+X002R+TaezfdDBC0rNFlRR0aMZvk1Zn
NjonKk783Kbo6xFU0Or0FIHCnd4n84Nj9YhQ+Cbmp3Cuyo1GaikoKBVGD440SV/oqpmh68yvf5XY
YXy9TEo9Me8zLPh1Sr+KaBhuPZvEMV830sLYOcDFow3q9vrd3CoQlVEDpMB1xuKodaW+Mk9c6poi
XNxbN5scrNAA5mgLLIlArqLibglSq+vawM7hmEKIa+wLn4TgUWIJCxUQZ6YC7AHmltKZJpSWxl/I
yEEcESXZoUvksJsionUxPgzBUMXOXbNIhbc+zqJAzH3FYbpoj3NFtKxeNMYdsbrTlpBDBADSmQnh
aS3781R7RqB4ac6MCMmnjeeqwCcdzdBQd02p1ScZ6el8o+O6cOqjQAnn1r5nkTHrbrkREs//GJf1
RWZNXF1BXsOaqJtg6ErwOIwyN0PRIWQIM7h8mxhnExtHbUhTBgU1q3nHOXxNTDJG5wE1QTIFjqa8
+i06C6fZYBfVgzmGg4c4KKb/Ziq1xi0JOurHtApbtBl1FH8GfDnXPgGotEdzdy6002ghuyPMXpFK
C6zyNNJaI/+hnJ5xDMKmy5CPbWfkC/OVimYm4x1ZgTAlc1uPD+DlRHUAa5PTFTPmHr/a6lc66G3h
7MooSS6JQr/rx80IQrBqw4I3m6EDuN16Toi6Au04+XWIJedEdN6w2qmk6Vcx32ZQj8Vo+HqptXDl
NMByF+RpSYezcyicG7UU0znvLH3fZs4QxJEZzTxxkjZS6uC9yzUnOWsVkOQdzjES75i42m1Q5KAP
RNJVoGZUEx2l3qGD6tmKvUH7pAF65p0Cl6B810pn69yTcwRPq6FBAx+PIYzCMiI37jzEj8viimov
w7otCdRdpTCeRlLWgZVofpCNBz2AvAFG1EmeC3uf67GYrpw0NIFG1+2XCaWXNSChMBOrWx7GTNBg
ncAsVkhDwQ+6tWZcm12n3yxhKu6I4uJ9JMEqxaIZsZpZNM832dykpAyb7jHl7Eec7qQpdVLGhLjY
JPUv4ErZ3nXDbiXhr31DvqtqF9VLGohFmndaPevjzhziPKBXJ64ru/S2pptquC6SmmYteYTGY70Q
UKibBMrQyAUm8rFtHIgipIu9Mdt8fL86Q9ttW0nJu0biFpZgOmuFYZM1xlwJ/I1J52trx+B+r/kP
JPGcGvmYG0vYtPA2trsw2OZUbQkUyQjwa52RVy7HQA3E74rOJr6Ok1y0NmJr0neb1qy2YV9MEcdV
8sflTVXWg7txyzB/NDCBvYXZ9k7yCEMB7BQNaA+L1IHsDOfOhu8QRH04B70AgeN4JYGr5dKLba5Z
YeTDpMG1FHbynBcCwXPRIoi/mdqquln6xU73blOZT02vnjDvMubomXgYgZGEuevjLesRA42pGm4K
Qv/Oy2x090gnmJpU7F/RnaFQBCHglfm8zIfCdHrHgsZNfHl4JCd0cs+wbYzdf+up/6ieMowV3vp/
t79ukk9xEj3/WFF9/aFv023xlzQopqDEWR65EjYegX8qKibcks6WRz0FeOBHQ4r7lwGDYK2pmDub
L5qG/62oiLPSUbahcv/qcPmTI9oryQgxDRyNGLzDg9blz5KRRuFdbfKO5MRajiw2I01UdWitMdmH
sQ50kBpnLqpTmhna9OYFF6hgBdW4/T0mP06CW95g9piaiHut1F5mAGSSVgYAvoY3FHEnbw9Z6VRl
393pf7F8vCoF8SLwC2MMB78umGq+Fru43YBqq13aa1RFaOrjUvO/4j+A4ZwnNMW/C5ijP/hj9ckl
EQLgLcA9BN6Xe/bjYVJLcrPWMIhf27Z3qnpHS30iwVfxnySXGH89YvEDktr6vYfMslH+IEdHHtCl
EaxNZgJrc8jEONkso8NdKYEQ0L5b3QBuiT5oCzVIXWJ6jI8slf3C5lCiYukMNDQRsZEcNrOQGqVp
m4JBgSLyekf/hnut2Qhyc+w+AdWF9QzmeFVhMsnGwQajNNoyWUdi91UgMzHvctF90Qn0ix4y1i7s
tPlmXl05rWHyEExmbj23JvgwAqdRiy59bSATrahlIZ6Bvp0Sj3Hai49BR0TaBkgUxCO+ZZR+yYvq
pmvT5j1CMJTwNvguJrKJq7YEdCG1H6Ff+XYlgM3RnmNy+KILJlg0Vm/axorxUjeEUz+KNDa6a1EB
4T9T9iOks53Zrp+Eyan62DPUeHYiupq+JhxrvCd7Uzxq7DLqHa1dhSFGrGnhX9dvCjU21LZ2V0Up
bJfFD8HTCKJVVzE03nR+O5GuOYnqxd2CaDmNL+FoIAElGnzdyQgZToCLldZzOkXh22G2Ebl+ledP
RlsETLjvYkzzi6+jA4m2yYy1dWPLvu+e4omN5yAX+Dxb7iNKKCCf3JZEy9F1K6tvloeZyefij5Cs
jWtIPFgyl/UrcVbRtNckGd8fUtdrr9GwHiR5T594Qbh+E0fTcge5l/Zyqnh5Mb4YbtA0iUEAUQvw
k7yH1ZHV2s7kBNUo8q0MnSjIrcYgR3tS86Pdi/5M4aroBaQhGr7FGqrnKO2tm3mO7LfaSMtjGuv8
YppZ9CyIsj2AD5WuD0nIeS6jbHxXm3qqCLHnkSUuXV1GzhCuH6cTd7zIwwytq7JRf1oV6lG4BF1/
J5IF24cFAxCyL3mxiT8lhd3e6r3CxdFZkQa/uhgak9TaGdnWYgYpT6T4NBWK745DgZy+zCkO3Pf8
a5F+qde9NymYI6d2juWlinhGOlGiUY0rz3icxfrN55nW2BtgAHy32bRg5GGyWL/nzvByOWnJS5nV
1RTusNDV3dOLQ4VOGy+CRi2tDomoKcgyVKTXFsabGvlg1x7AkoCGZiirLhximzU7elYnsxy49U41
cBWbhFNoe7xt3varxwO1DnLXwWqra84Ton0kAlrT3mqDszRIilqtvczK4zfJZ6inbyhaZ+9NIvUi
uyfPtD2QI902fjgipl9G6PCbhZhdcrNJ0lvtOROzdc+LuBG1jiaPCgNNHmJS3p66cZAavzzImdL4
4qrVA4Umc30p+lbytyiSqnMW80o8JgP4XNAobmw/qdwdxG0aeiwUbgSF5NOLwTC2IYzRjCq4JoG4
4KORSrXpB7T5gLMpN6P+sxm6ffYO23MHLAtTntXeog3EXLtRkYYawKFB2G5FZvA36TxOx65x+M77
vMW7yLBVvXOHsMn+tiBjkFWPNAOWcKGPQtziTeLF5VwOv+IqLBFpIEio0AteMWxeWup3UL8EOET6
B1J6u02SRO65NHXvyRoHsH2L8eCMkcJRUFTDG9iQ2jbruzjgwehw1kTxlZl7xNCHYZLB/Bsn5OGA
TwMgi9ZBI0N2OlUSo3LyLorl0O1kbdmM96t6JRfndXW1Iq/edlYtfLPQP2gIAjZ9uSLv5pIaM56U
ezAyEX3Mu9D5W0VmuCmZct/2uX1CR9XM2yxv1Z1dOdEHyxzLbcEmFVRlZ967TVh+IMYAcVKpR6Hv
LFg09N5piSaGtgkOt8Hmj5ccg3qUvxFp52w8QFu7RYO8oY1K+SVp69uxmOpb/E+41+U4bGky5ncs
6/WH1Bvih1Hml8nRVbpvqTN3aArUhsSXcj8mVfIQdXb+Ziokc++2L8sTIyRI7wTBHXPNy3Yojhjg
gHIGP+A4LHujWT2y6dRPpVXUcZAuXcm8Q6/eYcFbby1hzxta1JBNbXDBZzxP5iZKRrS9odN9QbbT
Bvkg5UFgkdlNuRBnXAKODGJc/fOGU2OMi6QV43UDWG/v5s2cc241qysHSO4usiCAhFW91xGyBC2f
8SnNWlCcSow2FrXQGLdzAcCw6WX4AKPe3msdMWkWqHhfSzWMfaAb7TMQ4+aaBXs+6GU5X02a4V0t
WKi2RN0QqoNAyW9gmB/isrMfx2RcPqNASa/pzC/XbdkSCPfrkuinYm5ttPE/QGp4ln9SKxIKzdEr
r8Oj6uv2AMsee/xksglJrXWDVB+ra5IT28Ovr7pWPd/ltlAVMd8FjCUYzq4krLVq+k79K8MF2Ry8
jiO0M1itMmFhqHtBjfHr67wyT79cBy0lPlSqPYEN9sfrjHFFD9njnCMxw7Cm6ih6IRjgT1IhC8af
XwxJs8HtxOHrvTYUG7zDWkQReHRzvBpVFcurDiuoryXDH5p6+VzMXACPUIvrBkLxtdD97v41kefU
mtLto2nj0S4HSm9rIuAS9izMSaf6nRr958LZRTIr0GRBOZN0UX+8nuFWvLZ5AaxhdXB93YLKmPk0
fJhudZnBg/zd7Xw1hlk/I/55vOhQ0vjyXhfrcxHJ3mt7sJp0YUZMAzrFDwsqO3CpBHsgnmf2I60Y
+XddS9k+fv19/vyQvljE6Vxj06Z9/OpDV6VsdEVu03EYEmh8k2ZevbQ5/j+ugoUEWBxDL04mP97a
PBRTGSadfYz6GP9SArr+xer051fhQImWk5Y7L96rq9i9KRpL47N4TYdnM3FyX0BH/s1i8i+PCag7
k/QUTjscN1/dsawp8PMklXUUIUZABvw8FMBzUfLMYY+pv1bj8psj3c/rF2s6qwkfC4kdl/3x9pXJ
GM6AnORRq0L7yRhomy/6SCky5BVaQXdGj2p3C4/Ir2/ozyvLmrAFmYpP64mf3gg8pgmgU0scs4G3
O6xYJ3sbF8iS0l/79aX+5SPycJAVSg3OPOT1YunkU8ulCnFUbUyvqsCWsawey1zywGD4dQO1PjW/
vui/fb6vKpvVo/FT2NKInM+ku2scgWS1ZDSAY8h1IGDMHX/7pr/YLX7cDkATkDQh5ZpI8/ObFrut
C79ZB1LeAWRPCZSm2+jo+X09Lu25wsROI3KmTMZBxqmCWqs7j82owp3UOsnhosL/F8H0NGJGob4L
BDi+uJkNxe3Xt+XnJ5zessmoixWJGbl4taGUiTUlMyrYoyCfxARamNTvU6WxX46p5FEjTu53e+Xr
IFsWQg8+BnUl82j356TmKKdfErLHHaHvUesq1+T80CPq/uy2BlvmajvmeU+xBzdD3rwfx5UrYEKB
vW86gcWxiQZs4VRJ4M5nA0fgn98TVkoUWQaQkp8GbHpDAAQwMIt4HZeiW4cUbESaeexys4R71ui/
a+P89Gyu7AzeBlo5PKLIwX5855sEqS+G++U4SljbHREd6WZuIKays3Ma//Wn+7eL0TcydRo0LDWv
dwF3ER6hy5CJFL3XC3G23gmuPaccS685Jf36Yj9tOXwyxqU4VMx1x3udMYY5zqgJ/5mB4FkcLKOk
58niReSU+OsLrZK8Hyswm+VyLR4sPtxKYfnxHuZmnCgbYyQVRIuPTecMN/iw7vvsDe7Ppbuu09VH
KiPpnuIpLhQnEsfEZpyv22DVqPs4yegTaBOHJb9jQPV+cXCs6ppNK4uuF9Ep+dr9mAjHXvaTiOZL
X8Jw/11s5c/fj2VQ3tEw9Sxkeq9LoaSc3dopuu6I4M0NJria18UUJ/s/R6kIvn6DZ4ChtKCl9xOu
po900Y8qbo8t0XxXrkj5/E1FtpomMInJkujj3+wy6+713cKI0Ib1UPDqA6hBFvP6WyqXwjSa1pJH
u1Hyb3Cz4xHloPf2pSFiOx1dnWbJrTeVUuI3K514/YiQsSdsdDBocdbJOXvAj48I2pY+kVOSHoHk
ZcVCkp3LlHWP3o9QDn9SofvRNrIMlHjVGd0ZLjZvILbU5CB6oIQbIdL5Xn8x6i7Z2q8hK249WAAx
WzYLJlAYOGDQEccbycUBBIjOv5qIivXwa6Y0Lklvv7NAOLxt18cr19gM9tDZjPo4tnPdbYQNh8Sa
FK2xLszo+4EGZKOH4oWpw40mkd0gwsRQrWN/vZvoNpxbu9f2igipSzUb2rIn8AJK+tiXRLs5jdBP
tKVxiHSONWB8kG19YvrkGD7q+mUKqrlhvlUuyXFyE8MnqcMakFUbcQP9f4D73NP71sepel6h9hXv
jEH2JhZmIzc+T62b0RTXUt4XcOdrM3Qm4+wyzsQXbB2tWSoy1WlR7r0WW+bhK0albBb+dGmcf4pP
4n3ovHj5WtcAigcdUuKT/kK3PJlw60ctB3em3l4GvkBT2EYYc13MosqrUxY1Y3/XmR1tXUFEKH4Q
o6iz+2rR2S/aoTeaHSNL0hl04Z5I4KlIEamN7rPqdD7FZKbW8rdpl4y+2sagRedMOV8zSRH8IB8d
XsvEr/tQY47zMEql8jRyNwnPqAd6c0gnMrCH9czl6YPQueoh0Nh7F4Qu+kkz5G9k9BYaH5fJLK8a
lQ7agwJnABE/W33sng5Tu9nEuQlQqJxGq7838Fl3QcbjEl84r1atb8wO3D8Nl/PVOLYdqNqhB/Gx
ECCIaFewhFtLxBMEB2R16jtT4pzkGBrTVaw0bL29Msbk/JVLg0qgW/bgeelvCRId2tto0FX7+NWx
7yYWDxiUfluctQR409c6gJ49T98SEUh/iO2KvhluP/LtQhohLgk7c6W+QOUPL+4yAr5/acFZ+cAv
Y65zTwkT/DkJY0S23dBBVvn6WmGhQuS+vjOTY6aY8l6QAhOWnUdDGfA36PbSmxfgZga/tS2eosa1
OZnFucV9Fd3aMzfTbvg4JyQd7BTWKkblMJiU4crn0DLXQuLFN+NWjnwujHTtxLa050m64fijDJ0O
/Mv259gDTcaY3hXAaId5BJDgRKW7ioSM7rrwIl7TotaYNOSz5MbKcJTmLvVElNx1ZcMvYuj0TnZ1
Lrr7khxC9WFQjgmIOXesLLt3K49ZJlhfY2VNE6I+tGEy/w3+jEc2dRsh72YDn3gQz9TGJu/f5BTs
x4wB0NDEtCt4ViTTHGxcsjeddxTmGa5ECzZ9jeslGWs0MWG4FPTmtdxKj3m7moTmHOrZbvWJuLQk
UhkeC11XtNrokPcrwwQ7IRasl434vzbg39kEUIRx0Pm/56REyf+gYmWTX3/gnxkpg9A1moQSkGqc
kuDbfNQGyS5Ar0Pr9uj7rNXAPxJWaa7c9fUERW+GYnXlfH2bj+Ibth2PQ5z9Im7lp/5gPirNV+5y
CnWCSk3gMRTuAirNq40TUGY/lk7iHvWmUNda2pGGlQn0kaaVfS7KcblCGY4WHHxIFNHNDbOzCZzm
fZqCRsIH2mkXI3LQH8T1PDIZ6MO32UIu3XWTKPUp7pM0gvlsEooQloOp+eRXRLvBoBsOlMB5O1v9
dDe0tQl+fGaMcoxTN/88jrN1GpvBfRsrtAGIxVq3gMxkiDlgqyr83mQNJF3xarTGfJvGZjNskGZY
GG4KE2upYed/l7pzFZEHck49NZLh0sj7LNSGJRjGOvzSm0txG2njDaQQDmxzmaTvFyJTnmUYje9U
hLdYzF38RTOBU5OjYZEN1irnUtujVwRqNrtLChr3hkLSmFaDIWlLhabdVWU60QAai+g8aiK8slHw
Uxx3LrqlqTLlScRplvp6uhgeI4ghfl4Q5x5yyHNbaCjxe2PGxu+bbuHu2dlNetmFnT/Q8Y1vB2vA
rciA9pBMeYS8znOPaJPHvQ6cwAyWorAfYD+QiES0be5AbI4FOFCqZULGUE5FAdMO7/OMqLD2Z/IA
dT/Ox+HapnXlizBrjkOYpVsmsqSSCcYLPnEj3nVL0CGz7xmitu7VKDBmcLg7oq2G+9EpmgPCp+pA
IFH3MdaYgPgeyFBsA4tdPzQ5kGx03HCr0NndVV6eY6Kty/zWwPCtwzFZ0tvEnmFURZYzPuUDWC17
kL17bcSVQ4YXQyag1RG+aE49YU840JRucTe3t2C08NqqpJk3po37UE6KJRUNVH8Ej23GGztW0cXt
6y+c+ebhoPdLkwQahdoX0mNyuTGZjYHpkUv/qWxNG/t06OZvw0GlmNDLZgugKzUho9vjM2WCe7Gn
dkQxVFow4s3WQc7dmDuj8pAtKzLkb5ceOt7bRs8wg94tyMWqHAqO1vd7h336fpqd+AL3g1PtZ75d
how+0YgJ91bJMta6k760kN3Oug0B6Rx1jRfQPmEDkv34frIm+8qdDfEmcrlG2DUB1dqD7BTT6pKy
GAA/ZP9DWBrAe6sQ8xhvqD+S7XCcAXftSHkpeL1JwZ6pPEAGI/hkArORnqyQBtYg/rCs7tIYK7rm
oPZJcNdukBRBrsmMa9F7xk2l4wJVlbzXpXeAK26dllqG/qy3+lbp5XwAPcx9X/n0xWaUcxiUwCog
+JeNzvi1mu2g6wbTN9vQ2yHw7ulMtMU2SWfnymQOeBpI8wqmpsj2jTUMaJeKpbm2cfQcRToU9wju
JRj2ykZNmZY9WENM6DEvZlalXxbXfGNoLAO5m9FsqGQApAgJK0kpj9og8nM+Mf5lT8ftrSzjgYQz
Vi23KBFxdBKBuJ0qP8xEvGFqiFRJkJA6DtnFlOVbT7a5Hy282FplHtI+urftMt4WlZH6YVOWfpro
o7VRXe4e2sVmyI5okrtdTY8cnuNAH2fvyqnkssX9OO45jYl7m4ItYHnKtvD1LIDxkgkqEEEYcrKj
pPAyfUtdqU5Q85d3qD7lE7O4NADum28U+Y1HZ+idR2YXZBRMdq5YpDrWFKdi7dgkVqiBxVYVWsws
Wm7xHnLniJCiimNtzKLaPeDxkdjUPZhJhuapbdThVg3Fguy9hJxDkiJZ5UnWnIu1Z++0hXudteJZ
t715A6iNwgyn5sbymn5bANPLeA3L+I40omwbLuYazRzl3G1hpryoruaB5kdcwT0HvtDwJZANDNW/
PCVW3N2mnQsJT7c0MnQzarJe6Fvdrcsglc6wazu3eGqIYb7E8E5mP+Lrf0pdayesQTtbmSpvjXEA
EpBH+iMNsfxLN8v+vWNE8sFpVHnXoODYzkaj7/JaDjfj0rtXKYGDYAcyLdsy/clZdONkeEikWR1d
WnPPKAQJrTCbCWh2U964tDsOigzC266zcJNjrOCtmuaHyChW94JmJOd+9PoTgRLjqbPy8KDHiNfG
tMuCSrosmTkQCo8wrQRX1kWDruhustGFacWaH5hpL8Qm7OPlqOc1uVNZWpwTkYdv4nKZ4g25Yd0H
XF0MaBdtTE4CZMehE9jf0b2qj1BBQQyY9fJojhx56zB18IzlCcWk03RvGo6YJ6jb02mZqpHYV1vH
gm018b1lD8aDiEaxW6q0DnAK9rNvz338rm7q7mIuVN9xV4XoENfVnh1dPcekLTyasXRQ89mG2hIY
kvnwSqm6eSoJ0urv+gFyDaGiptH3T3pjeyTLz/ZkZPoTSM+8PFTKaZN3WKfDsvd7hl/sRJnuprdL
tRrHSnMotpgOV2YIpo1travls9uP9hatRYnDjykpIa7SAMHVkl0RxfOwn/TiEck1eegZJ1Ee0vCK
rzLHmV7md6hq+8AqneMQaTXRCu0/HbH/1se/rY8Zff2yPuY5K4mZ/t6ZQTm8/tA3HaEDh5rpGa0j
3Bno/vijb3WyQTEMLI1SmDGGRXfpf+tksdbJ+Gcl59JV4UfR/U+dbOIdsx0HXrL3Ne9I/EmdTJPx
VXeL2tIxESbquD2oujyu9P0UM7E5ZeVGFx9VYzDhn2oY8mtNdI3SRIPMpQxJoHfqPSBHIImkJ882
9PURHhzJQ33VHFqjCEPfrXL7iFVThtt8rBZo8hzb7gbivuSeKJ5Zu8u8tH3XkHJn+WNtRimOyRyl
+Si68ZRPBcfynMwcgSAe+As00sEGAANQY9NNLfRIY+klez/zpCWnB7odSW+OoSxURGF3SMk30tWa
jx5b7ic3j8egdz3yExeIMlTwed9RF2JPIXlnkuLkCWgdHQXozSQJhivG4b4j93iHwIWiZ85H3Qyw
7CQPdZrOdyrW+zNqgwJFL7CAraMqjbhKV0XWprT0yN3YaX2fW/VIMOjUUBtV8wE7hncUdZtQ8OFH
TRAFgUmFEWOVlk0vIAbv09Mdw15gkcAoe0e8y9e1JEFa/WCgudp6sfwQjXN9S4XhBeRwm5dBpO3V
WM0oJgxxie2l48W3na02Jzabp4bQy9Hys1lO95Y+wQ/Jc3bVWjnxJ9JD671kF/Vb+m3X9I6IC6Ww
uR9bZi2bAcHsDd0OeZ7i0uR3G5bhpE/bhnr5jNi9+JKOtrcbM4m32cJQE7VOd8985pMVhiQahYRo
2lrcMOjjH6R3vOP4b2wQUZd+nVtHGnI0q4B/PKQt4hfKInVt0vu+JJ3e3NVZ/JGeXPxsVfZE40Zd
gz+dA4tsx5VcIxHB1drdyBHpIW+zwi+zvDsLcI+oNdBYh1521+YpWjiFAQ9hS/cmUwvT6U6o80zC
eVArS2wNi99Uo9NH4RJGj4vrkMwH3492DZ1Cj782TYnTqWsU+HGjH2d9+Jzz39NykvmdMzLQCjDF
ePcOSMk7lxPKZoHnHG7qaFnOciXqpfWo7TPiUveLNpT3uuCJplfTn7CGyOs5FxugFnJn8NjfVMpc
3qOfs5ItxTRCeHSTQS0zsEwrTS9osmzaw5+IdlrDYcb0uqMe2zfjiLxqs9gUeFQOqe/S8zpQllBw
o1NCO6/PcGtDrfftpX+rafkOM829S+b3LnSu5QgPsmvKp3kaUkSr7a3WE0EKdQhLjbynksiZ2Naf
OozkVyjY384mx0i6RB8K7DW7LKGv7BeJuIbMQrbf+k3Nn7UItGll9CBhBv2dHDzlUxmGh3oatZvJ
9TgUD3WEkkW+ZzHsbgVJWzvoLRWavsi6mlEmvZXEH/sK9ltQhC2RiiYz41Q7OmFM3HAi3oPwaraD
U7T7nCbxVdodlz459UUPYahHZ1gmZ9T7OMttDzOmLALCvEhEgkWzgw+ofJml3b0bmvkdhvHoaky5
zfOSodH0bHVXqHzZl5iug7qu2/2SKftGtiPxo5zI2xnkZDAZ3XQ3yf7tYMDY0Rp8IhPYjJIXrELB
rz+UqSZzL2iMVqSXOZzM4sRM9Fy07seqgVxp24v3mJpzvZOCjjf+n/ACAya5pU58LmVNRhzD+82S
GM92TWd1E7d6/6Fr+chEptdBS7Pumgqj2OnC4pHWo9wHUpCTPx/nl5lldxMr1ru8aglidQBVLVju
SNNlfR45dpySWc0fwCUn8FwTvXloWvVQ6qSfRcS7IOmLOS6MXj7Ulwgk35VZT3G3r4V0ajig4/9j
70yW40ayLv0qbb1HGuahzXrRgZgYwZkSRXIDo0gRg2MGHNPT9+eRmVYipZL+rHVtstIqU4kIBODu
995zvqMT8JkhiBMDVMsUQIqqGYPbPvPe6kofw9gkgHLEl0fAMl2BZgUswV9Bly6qKLTTAnxZWEkn
I7Y7dTUUp0TW+2ZfbOeEjFAW93okTPI+yaHX2/sZS9KhgIAOCLbSmhdB1THTS8wkNVkymu6VoNcs
V/AL/b2ALrUAGmndG8bw1R2FGK+IGHn0ztp+cB46I20PyVLM3Qo9ovO15+lPQ0PCpwoNLfJsMKK1
d8tgzTfXuObbQ2Xq/qGZIw3rcFbG+6iBYZNa8VWSy/zOp+IEHDRo3i6h+UIWESfZx9q3uw0FVrE3
IJo8M2SE3FT4bZZxEu7t8xjiMamdp87JMsrobKgxAI/WMAwreC/EZLG0v5XC1scVepzxoh868Jac
0vW1R6QmDSOjpGuTOdKi+pwW+UVXrZ2m1dNH9mRMZWMhLzrVAgJsHbwpndxC+zmybgHhDV80ZLSX
Bf0jTzWSCtVSck7dpfTUaZKq6RSr9pNTDWeFakjR36E3BZ6X2iuIuIsr9NX+vVSNLFDD+auWAXY5
FNI00UzX6XhDwop7zz4SbJh70BKbZ5MuiefVMDKwlcdnrWqgiTQNbBYjBNmBKIfryWuoWoFVa9fp
qQNnnppxp7ZcXlNcDadunRkUy1kgG/Fq9424rUeSY7t8NMOUWMQzwYhpbYiEl7XGpH21nPpz3dhh
aDa7NCLHiEHyRZ0n46MDOuQbiWrNE13KYVtqWYC/LQ5iulfNrB1aIxuuS4f1ZkWegPZi63N3NRNW
jIuNEe1eYqlr95421k9BPJVgb6CPnNUGHbx1lmY0bwKvyL6QioOL3K+s/pZmNoMqbbKaS5douzPe
OeJNpalT983K+8gnx4TltfojIt3I3pSpDlvMGDRnJ3M7vY2CWoc4NHthKSUiVUhD2Y7lGf+4Ywy4
/4Tpnc9j3xyAeblrtyYSbR5UNa4oPWp6Fk5+a28a3WlCNzP7jZOAy1oZXX1jyK4nYtAJznNtkCSq
R1W/nrysPkOe2Zbg/cv2UbRZj4M9lp0RSlyRD2I26xK8fjADI8qa5ZvLAeoi0sd6jXTjqx0nwWcv
KYtnBN0V2Vb5kK9Z4unizIOotHAMBCuiM836WYpH+SKAzvE0gGLe17Rd49CMHbIoZmu2vnpjmxz7
yLDugz5JUhoc1mQzzYQeW1bYEWN/4m/FgiNgn1nJfOuLCPr8ZCbG8xBABKC/VT/F8NdvnKAPaG1M
pv4oKRqjDb46ybOkdxInmWe8Bo3ZZJuocGNQeFUWPaRBX36el97ttlaZTEfZyXk3ZJpGmvjJjuFZ
4iyLxTWBXelDU3qXMcSQKikGYqi1zQhiLiznPrhBTadfSk8Z6wOIHmvoVOaVm3M29Ok27xqXgwUz
ksH+GpDZ6BKyVcf3pT178yorRpt4L42xXWh0qU7GeBxfdjCXYR4swFIy0iUX2+nXS23lW6nr8tzQ
ko0r2+JbkpmqqShd75vLJClZDR0AcOH27Wf6k9FXKDLRdqjIuFrxay5dWLd0E+iyMsLkmNUxqUFq
sUrbOLNBH9jZa41FuIRxwF9qLclZWqzxooqa5EtOA/xT6ujJTk8djfogkudtPQVqmuyqVksRhDEU
nAQb38FfCq3bQjyWez8N6KqUcNMfOjBbLVOkcaBTykQ32tRI9zdNtCxHJc84jGhaz/mG+bmJC/kl
WtJ+W6S4MIu6GbZxoGaXeUwcqVi+1Mx2ZQgwqSUapPGurabRvhl62p79d4r0P3LbIUpluvLvp0jX
wGQ7iqbn8j0TxfzzD/5VKXv2H8jqgMZCV0J/cwLH/lUp+/ofiD7w54ErwERnKWDJ3xMlE4YBZTWS
J8tQMx/mQH9XygRHoeaEBOUbaJWYNv2TSvlP2vP3OhCmVraFSJt2j4c5jP/cu0o5L/AEF7U+k1FT
inkNSQBDqcPw8xJKInUpUCfMFkWRtsV2BPUXsOe07Rk5Eoa+XZp2zJhK6CSgY6HJcSDgLiRlTcAb
aoOXeuijq9F152PBGGNtp3IyVgtBCgYNuK4jroWab3FzyCea1RnaxltmuJ0mo3pz02bJskM8VN23
3YynHQT4JRNlHUHDsnyOTM3iWEzU96YNdACFOMWbu1hAfN/r2N38tTHp0EUy2pyoFyrl2UaTMq5A
Eghg3VO0ZpK0T70l/aYZRvwykj1+MfFnHpy5yqCwAF8/J+gRaqrhEbe2ouHQIclwYnNTaaNzTbhP
fhysgJFIlfQXw9hpOyPK8HLpkc3puR+mDVwFXDgelN7Q4abASx0VVMXFeVAUlCxBHQE2yh3rs4/Z
jUObRwEtFfC9dGO5KT0XV4HZxJD8uPN2ahuHcQmK616z3G3vLsUNCaDVdSb99iqJQBSv6OyWB8cz
ccb7SxSKMfG2tFj1PuSwc8E+EOub2XPpULYC43RIqf+FyI7+XFb2Az3k/s7oOlhTPl3/HAt7hl2m
kL7YqWTge0TL5pa8Hp8xPK4aaIVRdGFjxaPtpxPrjoLlwnGG7tZzKeKoDdAz4hXS3/Chlxu7MG69
4bpQvPVutJsdmIFrGw10pZz4FsnInWSiBqu9ZR+8ItLZCWlnbHAI9iHQWVhiCaR3SzHfcQ5ERDBk
5Y2jiPDCNr+QQ+OuhaLFzy7c+FIR5GfFknc1p9jTbAx1qrlQiCy7jRR7XioKfTTBo1fx9CKz/A10
NMKipF6tIwxwGBYVzj4LImcrFeI+GMcXpqHaFnc49ULSA8TnISe9iTbmGYRMQk7zwNogjhvXwjLt
tVs6NxVPW0gf7Vgp4D5NIXeNuOQBlQCTf4XkTxg8rxyF6R8VsD+WnMcMaaSHXOH80SjHZxzvmlsn
r+uLWWH/PV/NlLA0blpM2GF+igcYqO7LU2bApOIDcMZi5yJCRZWogC5qVzobWnrTLccpFUuakhq4
c+1iJpYA3eGUbrvAGAkscIzFJr4gG09hBuOf0QbEqfryziQQY7xzMLETgADPNjHuDZtnYYM4Mz26
re7d9H4SJV8meyEYAJxvbm3LoFIKexIwuT4iGGCL5peAvCF9lRMZNIRtZCVIAo1Kcx4m9rnsbKyI
ZaXoWzKMMBnNs3LXVlo73A0p0rE7LGWSQ0UcU7JcCksfskch+nYp14w/S4+a0enMcK4Jh10P9EtY
2WQax48FNQzmm8QAOiG0Ct8BzbaZ4gvDJwgVI534+j7DPxyJWQnuglSEXsT7ufftR1mVY//iCQyM
Ljk0S4ChPpd9dUj70mIUVEaip4TBScu5iVQHjS6dLvvoUwmKGaJDw/ERIU1rRrxY9OH/u1P/j3Zq
xeH51U598dx1zy+J7L5hbv2+qW3++Sf/2qrd4A92ahf9JYENbIgBW+FfW7V3UngQcWcqNTL4sHdN
beIGLCTKYCWh/ytI0d/iD+MPWuQAIyE8ouhW1LN/IP74oEblP214qDWx32NF4NNxWvi+pR1YM+Dx
Wqs5UeZvSRUHO43sGWBblNXf3Z2feNl/diXlaELz6lqmYX24EvF5pb1MBlcyaXnDG3qqleJwjOha
/PMrcQ0gmDYYM3IT33+nuNeihVjeet+PdDgjqV91RHPALFzu//GFmEiYtu5wOZ1rvb/QQDhsULVL
vScY6k3k4o2R3lvG//4nl0H3bHj84j/8RtCBFtZvoidonnB08hl2n3xaYkr/g1vHsxrAaw7UkOVj
zkSMh9auEr7REBXt+aSTZx5ViCvbMvvNl0LY9E4pzIOH0FD5EjClnA6c7x48xDG+1gfoBZNxFMg9
5ts5nlQEzj2om9/5fHhbfrwY0mBXSYTRXasP8539TANazbtZIU5UbiKvwyiMLi9SwcLPuh8XMF8I
cTMw/fzzRxH9NXkGgYcT5gcrjNtWqA5gGu3rJq3upBK7OoEm7rWMv/v1U6IetndHbnVDOYKxKihT
n/fBZECctkQqWdR7TTZkk8h63gBVj+5+fZWfvMXvrqJk+t/dSaLm7UGTOVcJJudottM9ltryULb/
2a377vt8WC9GUSQVUwQekFwSHDllzwt2fByuv3u9jB/GegH5GpyFdCwTiCs+es1ADUYZthzyul08
lo5KpesngH2jZT80qUf/2mJmRg6SuXXagINU2x9+c1f1H++rIlwyqMTWqgJmPzyhiHUcv6jqYl8P
ZkW7GlLbiqIFwS0HKeCRHB2NoIWjhVkOeNRUIf2x6IA1dnkYGhxR4VhhW2POhpyWA8WLl6TMkBRK
CbqIsZWeeJvRJp6BQh8uaq8Dg1UvSlEcVA2CZ/4VznXFRhc0COHTOntvaoobRh3mF+GZEPKZ3TzB
m5rXgAmcfaSs5tVcBjsyC/218CY3DrtZMiQSpDCshya2zxjUlBspctpeplfe9VpmH3S6vy9NxEYD
WoPP7hpcJbOr4+h3A1Wf5ycVaphc/5qRYRGmHZ9HMwMUvhSOawGlcVsFcX0Vm0u17h2bASFSbFVO
yZzSp7H6YOdGbb1t9GjaZOgH11pLImWh8+2WgrWzyLw+9PrSDCOP9Q0GWklJwS5UejTle1LOezRT
hnWwwb7vsnapjgbYyrWPWXBHloCGDlI38cAPznGKjewpZqB7744CxHln1Y+NW5hfIr47EL7RqB/r
wsZQ4kakMK0Srw760LIYlawm1+b4qiEruu9G3yGKoituEIL3TxG35phkTX3lyuxNN/hNJUT9L4Wf
vpGUHt1Ro1Vno1qdE7JK1agMw02b6zjdSLnFSpYxrbzNJkTlbCo99AQ4J0OcWytOIoDhCZQoD2ms
mPo2AonL2KqDq8yNyzdXC4xLo8q4iTJ3Sk6Uo++vTm9e3sU2XsUIf43LLSNvnq9JYGe42AljrqaO
P2E+4ivFXiqegmVil29GSh4nQUGf98xcYBC0br5LSxq5FwYazGCNgH54SKIaXoRpDIi6S+q+hRyH
sj3XSFX74mul84nAteLN9JLqwHecN2XP4q3rfrO3M5DxFS/3J6useH6cVnfSsLUdJnxBkgzVVk6k
lLZoI8FEKFF6H00CmZZZEymLb0NDhgnkpGtaXjtbX7RwsNllF6h1u573ngFNPtbJfV9q8bCTfpk9
ByPj76DkPWLkbsSrNBjy3SmDdaTH97C0i9g5tezz7ai1JgHtteUsmyUjymbVQiNGnzYJXANB3b2a
C+8WaCuMMQQ7dJ8Hr68faRw6x1POXzFVfNhW4k5zdfiqCBwJOYR0Yh+cJBZPTWyWB9CD5aadqExo
Or+ZPnGEkeFaBz4I8vC4mNfarEzPSeEml7FA5SXjPNgxnx9X0mL3RZObh8rTuHYI373LBuCo66Se
km9lHTj7UrgDsh0m6Oe2IR/qbh52ODTo9geSB2EZ/fIALeWtixR2Wet17FU5ppD4Wy9bb510TM4a
c99Xw1eZzCmTKhdobFS7kAt87yaRvJRGycfSjXy4GPo22MSC9xzoNKac2hNfkF0tRz2YtsWCEThe
proPixGL/EqkoLWtPuehZlVEpJSTMlyiwbiyONduG423XkhCSQYEv0wnsnmztKxuxdijQFBbf23z
vc0ie06h+135Y4Yzc+r8G2vAAVzFI5wVO7IOk+SJEiyoQGIVcyCfq/VQ8vUh0/EaUX4HV30px5dO
a/MWsS9rTmIL/8ZwWzAeev7sOCyUbcv64Saad7Okk1iZbTuvI6/BlkLkpn8TVaI9N6B/ondVhz0Z
tCTJ6QVV85yxiJmyWrvYSddMLdt9qjoYWL/Gl4T4JhS1ZFEHHUlHODs3bZpfWXVfbZPRIs2mK+qr
rlFHeyYAx9yoeZjGhvy4VWEQRsTIaZVGAdmPKMHgCbHqYkp77IVvfNNHVqtBPSMOxptLgc3qkkFE
vCWgFv7kyGGGBIXeucxiZ9vZ9KqGqjVDByHnroFJRD/HrT6nE3doIf2IobvXgnMjwU/yC2fQcvHh
xewGn4YatofvluUhWmRx00nWHo2w6/UY8NKLoeCeB5Xc4uxhEAtf5NIi8vxrYMj+yOgnD0UlQWR2
+Z5OwrDLAOLs8HdoF/Cor6zUGh6w3XdX80RnjZ7al1S3xi++wIfno7oFMm44+yVIl02ZNMVVrbXR
dS4evQbyUWolb8TRxKHdp595n+/bQY/3JvNWKJpFE/a6VV+ReGjSo5sJYnTtr6hdJY4dNj0RsBtq
aZLfNyUrL+jS4F4vfONTqht1FS78pMgB1PHGtbt6u/AbbCn/APS76FXZt0s0Agx892R92+2uTOiX
GkmNcqhj4IoIJ2cxy6gzoV2Rw1eE9OPEWYmVFcRIjVSpZJJAoufQgInJaystVlbc9PrKiVDarvBq
f+4KsziMjVUcKq8HX0wWTnOw8g4gqFHMZr6OyDzx3OM8mhNzReJFW9a/whsJ68ZbPoJzzhJtZwMw
SQ5jFqDXWwE9GPwDoBWFZXSl5Vkh5UArXcK7Wg95JuPRFdHfxbfacVWmd+ydTT4WrhAGUNtxunHQ
v3YT6/rse2JOw77t+2tEPJCeMqQT+OjIQt/0ddLS8bWkmux1RveEsUf0UArzuzGziOytSR3lhDBH
IFpqbx4OZZ6JdVrrX21f7hEuEWg+W8XKdrRkayJFX7NwDDeOk2kXhsW8c917OEo125x3vKemtaqy
DgFs7vd7s5H9ZmqiZ5E4YuMhU9qYOkCLymuMBySs06VkjzbA/xD3iSFMamGQW8slr2v8EueeIVdY
ATW8RFPA6VbTzpAm6/7WiwvWN9tl+WY2KEMKNtC0ox3QD6/5wgzyFXbKn51h9+vTqPXDYVQdiA3l
ofQ8LCgfq8B6SivNt6XYJ0VhH+TQFW+V1XAHx37s9AJxMkerPM+5bUlm9JeoiameyJO9qg2OVTT1
n9m4yoNv0jCfTUod4LoYnXP6pkfbTIPzss3ac+GSZt4PKlK1l5GzjyPeQWuiUtrYyN/vLPylz4Q2
qPAs/rKD2O/dAK5huY3mKb/XyYB/Oq2BZQl9JBwXpdz+9b34ge8OolA/JT8yS2FsQjbHu4KnW5YY
Toqe7xsOExjyxuGix1XnrfyWMxN44PQSbhXcWZPG604EbXVk8XOOvUWG08oIflc3K43huzJPfR4a
NgrRp3oPH3oOXowxmXFFvm8L417q87EV7C+jlz6Xubwlw+svMObL9H/ib2Q45DO07P9VyuK6QofS
/d///UOhzsOgU6nb9gm585H30dmDU8Rjne+HhgNpGUmayCWAnRIA9FHDB/LnaPDfXs/42dOHL5q5
ljImWR+hHKVK17VdkbO4NoRysWJWJArAlltnPFi9xvhIdDxrLnzp69MWPFYLvszExA2XGLmGgh+2
X7U0w27qOOP8+on4oc4Ga+CCY+S2mHimVGfu+wq4R7+MdsPAwUi9vXO0uDqCaPvdO/hDx0LBE4AA
uRbmbXxjH+pBmYJTdJHT7vEOWSumNlpY1i4xQmbAId8VFa5ZktMvCY4aHn79Bc0f62HOB5bq/zBH
tOyPtehsCHto8zHZ2x0QQDI7quBcAzT+BETWOXYVLs6rAJKeGrbfC/QMb1rtjJt+JsYaETejAbXY
kZXS5NK3NnFfc5azRbvn8BucA+bpXhskkP2ZFnVUjadP/1/99e/017puffc7/5BS+v/y56/PxfP3
jWoaHvyRv8XX9h/ICWFUsN6rDCIVpvH3SNn/gymuSYeM7hlIJdUg+Ttnw/lD511lCK1b9LdOkui/
R8r6HywaPMU0H8BQWME/SjX6+NbxXwGgxqfgyTTh9Xx46zIDaV1n2Rpee43wLexCy14Gdvfpu3vy
k8Xu49qjLgMNSonPLd3/4eVejK6dh2XQ9t0CoVRUbL6W1P2rAnHm70AQHxdWrqXeLwWLUpzVj7gC
fousC+hd7Gf8Y1egtzlPOartsECWrN2CkubXXw7H14fNgzMCi5fhQPlmzk/f5/3aNYkOHqbXRvt0
bvFyRE3Vn1cE3Fd0QsmIDP1g5GCqgli2uowHhN1s8vPOrUaz3DUOfQhnoDzG3QW/52SzDqqJip/T
mv61nNL2vCF6bXdq74wLSKWCiWFYRlOJOJRGTy6oO3Ot7T+fmj/BQJ+GCi29jGZqCqjZdBxUssBu
bvTiDOz6vGl6uiKmZi/fgixd7hMiy++9mrASVt8N+L4SWkGu7xeUNxegV1xM4Jklb8xOFm+LtVRX
izVmn009JVWAyOwtbpcyNFLURmruttcrZM7N0pg7nxzIVdvM4wZGKzNCUkaOntFXl23tc9DOhfWs
g3HBpTk2KJm0cQ9wj4OoPQWRi7XJrF4wKBXnjM+nm6BaErnSm9HnpOrbW70z20f4I8Eo1gA5vK5Z
efMYj90je4Azd+f0iLOtR/RrGY4Rz3kIox4RkW4V5VeKaKA9Mva/ZIjeb4NYD5IQBVbwmvldzbmW
wzSqM3OuoD9m6bRtBx+BoA5356tIyJYPU3DFV3o+wNt37bg69+Qoj7Msx3t/XqiaorRdm2bOs5ct
McSLNHOuUsu4JbZPD6MJLEbSBO6mQ+z5WHjVsK0mvd/6AyNwvIBu8doWRbJLyuRlbrEP0VhyjjFz
3XoFqjcpNh03JwHVd9HkBcxxy9RuQO0suB0j4la7yRBnLjmcGjm5GdIFrdLubORdZxEnwP0AUnFj
zak4B5wjX+PO7b8KA7D+ZolRdqMHT4MDt6BbJ5H70vR5OBoEQZY5JIfJy191izOAK+wjMu9pJUT8
Oeg0KtMI2JJW+yQGaMUUclAoMaiSpxtE+AO8uj9mSKNp0/Vg8108Sc/4sSP+Ze/JioDvJ5U7bybP
bW4j4IzngNuvnWkcjRWnSfsQkLGFW8EcLixEBEhShm9TwUzeabX+Qpjl8rUnjhZ7Qe18rSchrlD7
m2ux9P1t4/Rs9r1/2zRBupHO8qDJFuHMkpgbc166S81b0LEF7nhXlpRAsREM27mwb8qx+OJZzGv2
qfDHwSYWfEjml9JNsUpEqJo5v0pBfvkKBA3JEUuXkUwcFwK5tSnBaM55Q4/HH/N5OsuhCM0FiIVG
1+lFaPFyT9ABIlRaZ3AeYm5ERdrnjJzik91mp3BCbCb+MH7y8I1tAqNj2u3MxIeGxLOhSXAa3V0F
vV+Wu5GOgPcwaXZMnTML0zkrfCoLiL/a7G+7rMOoTdRh75JfRF7C7SAc/k2rTof4EryXxNJZEPsL
dxmAoYVuuumSYxBpQ5Wuumh0Hs0aYzDpqmWEqm8EL2LeZ3LUnC1eZsd7JTODHyrpk147CJQhsr0j
mK0smh3WPPGoObW4C1TPtNVLluGq8Jz9oKP994iMxUJhmREpbLTJD86EEnBFNC9dPYrHYOf0lnUY
ceSdGxN9crPQqBUmateZlArwvCZD1gxTgfq/vchFSzLTNHLNMvKhoZaclASk2wrZBCZau5zXdK/s
s7rTadhOdIT6Qi4l3dYIWoTmj9WxsW1AGt7g0etzu2qdt6oppdrMZaf7FK1zUvALcHw74dgaokjv
FhKpspVTarKmMTYWN5Nl199sxnTnfJA03hKoxrF2RkG8ljg4UUPNY3Xm63lwlTup+5zTC0+IIRkM
wNoebetReCIUfsFnA6jEP3O0no6tT3Pb0hlj5AJu+hoFY3UXF8T7raiJJUVxJVCEJNFflND/ngJ/
cwpkxqm0dv9eX/gl7V44YKfvcP5//am/T4IuAWmu6TATc3yP+vdfJ8HA/IO5LTlIAVAKCgM1SP1b
XOj9wYZiqnMFgjDPs/gYfysWTHx9nDY48Ng4AThl/hPFwvtjk43ywcF8h7CQyt+kja3++XcTSNPQ
EyGdxD2eQDNUwRByDFhqyzwDfOlbaNjf3aCfnAl/dkHQHCg3ODgxHVdH0+8uCNXJrDHhOEfI7uj/
Bqh0aHSma0zminvQGZe/vt77Q9qfX5BhMfcLwC3Sjw+DXIx8S4dl3z56VeI+A+gzLq0sMz51DuOo
X1/qfZV5uhQ/Nb81mE1irT42E1pAabEUhn0UxQjFxwO3TeAvbyexOOAvlyW490QGFz9C3vXrS//k
W/IkEZxKmU9j4WOBC2VtmHU22GNnZvYZLiowO5pTqvzv+LdMPEMdbP/VNTl9UZ5ARLE4EX0FTXn/
G06EVhYe47DjWJHtyu7ecjgYMx0g3tB7TH1LK6uTQzHR+Q/nNhm6B2RjWNimnHmLbpbBbxiZP359
lz6Oy7kBES8l/g/1TILBIQaR4o82XzdQs0XQX/zlP7uW0h8h+j3Riz88UHFm6XkyzzZROaNxKem8
v3p9Md3KzKwff/2rqvv4/j67qrYgPcIji1n/yANM+7olGkjaRygmb51Jf0+yA/5Z4v/bDtHP7h2L
kIHZTDdYpT78mKjybOAUuX1cBMPPzB+YtPp4HkNjERQjv/5GH9QB6tFxdQs8D60YarRT8fv9648L
zhgWzbCOGa57SGAD1zQijdE5FKb60W+E82wrqvEJYDknPTP2gbH7bz7Gj08wAz6WPV29qigEPjww
kWmYUaROsRNRrAcLkgutsSjwz2ut4wltAlIXBHh9F6OeZJp4enmdumOC/XvE589+AQTeYNHUL43c
5P3rRBXnToWoeXmHaLrVdcRiJ5ChXTO7+/UX/9mlYPoh3qYfZREM8f5SMH/bqvUa65gS3XD7J+mf
MDuWep/TzvHXF3u/1LN8E36CsC6gUORyPzy+ddJXOV1O7RCB1VsYarX1IwZfUJGjT9pDObM6/PqK
p3DOf70x6pIMckgURBykfuCP0qRaLBStqHgPukIQ234Jo5HYkumWSBFyHjooc0SKLEw2/YyQgphX
qpiAZnuaAsQRi9bsF4USPa0gvS1qfOgLoROrKNGg5KVG9bub5Jy22O8+Mxu/6pHwIELBpQX6MWC6
9KeMGFDLhpiqY7BU5sRK2RRjoxMSoGAxY1+kc9BiZgQnMbsbg//YTdtqJERQuPEZoyJi7Y1Qhr8u
VtG/ToSvUx2gdEOSQqgOvJSWognN8Ei/08Bo99wkPgEwHP/31IH9a6uYlh5pF+26ww59NpqksfSD
Vx392LYObcYNXM0im6/JWwdDS1MjuIfgR6ANQ+7G2BsQPJBYe0nL1DNIXBFydI5g8MvUIousbLiG
z53GpD1fNw22CsCLNhMGmRIV0yUVT0htI/CYmZjhKYiWwD2c4ku6PlbTttYApifypH8VGGgfvbo0
6wNS4fmWDtx0rZk9CLmlFnH6ZMxMHVcEQbhCrEb0/fcn0DwmW/cZGzFP+4mzN1OevHbMbtmhoeY+
F9ROL/USmTTnvea2ddGxO6NHOZDGGK5ZfyHSjETsMRGcDYPkmAbu50TQPMptLcQVxh2N0uh+Ziqz
iyyre207Eu21yjSgHZrcH5I5vNuuo/wzB6d7rQOb36lw6RMZU9u9iiIGWOKiutksHY4z5lFtcI/4
jH8LVQPqo1M4UpEB/jtF7NiS5Jg/d9SSnXpbk6pAL7tI2mxP7BnhqjP+x5FQNdeeV0U5L94hUQcT
LfOm67hBzKFnJsxHSEIMoXRNpauUOSjhtOGpQbRNYo6rJCRzliETGCofUsigR557qNV6Sc5L0+0Y
awAaNieTD0MrXBSbtmdfdKuE96+i9CXsUtGBE60gMmR2CuiCUcVAYu3NNvtNL4jMYxBi8SxjbkNA
ogNh2fk9eqNJs2jgGT57Ud97MCTnE5GxLx1ImuAclgtUDEusulDO81A1zjPqo8BcAbTCHAEisb2L
rcXcL5A0vbUZu/ZTOQwl6pp0vsgbfIHMRJkowgI0/K2R4sBNc0yocQ4batXlhF2M5VLJtd5F7ifw
Qin+FNfHRu1Bq7gEyaEfCzsBC1SIIAhTp7PCydHscC6X+ZMIdIfg2qSuD0KfGR3zTNIj0bvypq87
v1xlkSy+VeBd3nwbGZJjEiIRnHIs5imLCIQSrEwhkTM4ynWgDqtehWC4uWi7befM7su0eMa6UxEa
ZDK28ZZ2rwc+Tdbp2jilbYA3uwyywRjDEuXrU2zRZvKqHpMCIpRdQ3jFkShFr9n5hJI81inJg3NZ
L09uPFYHMBox8RijvTyVeQPWh/wahsIDP6MfOQNGjbF8ympEYOtyUDBOvfV26jBKqP0Ef/ok0dg0
nAFBP5nFFkpXrxYmwkowWtxK0WlnpWjqswwO8XZ25Pwtiqtxk2ipdjPDC35IxUCc3wyIkRRKQUYV
TntPtM9eT3KjTx7QOiI5MpQDer6C2JSs9bVLG3IGyz/tm2olWgu6gesR5oGxpFHy7RXJRn5Mq7Kb
6vGck66/Z1pJOAtA+XFlnyJbMNRH8EfIcfFVogsgDyyXKuXFVHkvtXCbOhzKbisdMYfQy19yD19q
kKeANAJj2nZaZK1lzucIyA28YVdC4wdrNTl37WYE3KDzizKAzM6JNyqv9R7ze46pkkwDlxPZ84mZ
r5kZrwSYEWKQKiIysqN7iq4wLWBJIatt/8ognAWpUt2QGUGJudL7IbhvPQnHzJcMv9GWJVO5gpii
ky3oRRBVTUerHiPDppMwNSjwZiaQiB/Yj33pRLhAVMPiTwqqbkx1txNpzxJEmBQHs7pitZ2oo7ou
4wjnDouB1ES1TWRCipE9kUq/dwyBVq/mscWBDSF4hW4xfzSrJuY8l0iV2IJyhnc+6eriyUG6UL/N
NV22Ds0WJBev7zZlZo/faGU1cegIzflC2iim+iTo9jmiEAybU5xKBdlNvnZD/5zVjrVxbBwkYTSz
fDzkgDC0u3SpIYz5ZuJfDm2Whm6eig0y6Wafae6ynf2y/rwEcQEWEEnA58Fpi1s3rt/MfHmYTNu4
Er3Zo4DJ0UqZyC02tqzNV+Ia4tclTce7WHr8crzx2aYBjo8DLPZG0qkAZM/M7DrvQP4jnaRpzEHC
dS7reCgIVx33JILqR7up5gt8edatu0wp4a+FoJPj8isQ0kg/4Z7gH8gvk9HnF1Pb2ldLuuRXDXEj
t0WKQqWtjO4FFXG+qeALfK0CdyCKoF5M1CgmrdfOt9JQJBhvRyzHQAGanOUCs9Q6K3z7MI/DV+SC
493YxwIvttQv2jR2nsToYoVr8yRgr1QJsQ1ArcvAntOLlqitA713UoOTIe6ezXSsjwWjEmzjkNMM
V9fgnzBoaHcGS95W4zALG8QwTURR5IhN2yQvrU+uqBHGl9ZyR4MrOtdnudz0CVODYIjHR5kDA9vo
XWenBwCsE9OUCrj4yo9GX1y6JFXVuwA7yZ4qVzvPvKX6jK/WDEIYYEVJgLmni73k4bkc2eH/P3vn
tR23kajrV9kvAC/kAm47d5PNLMn0DRYlSkAh5/T05yvQ3kO1PNLxvvbMWppgkegGChX++M3oq+bc
leTkICWarvK4IYOmpOmuITyE4wUxytU+sYkZWJfsLLR12Iv+PqR4jgLQOMDF1DDlPSdja63qKXWu
idVhGrX0CWSwKvt8QPRWUwuVYgk/t2KaHWicyvC2XipsJkRj+IqusgsIOqxm6lBRMNl2ZW6t1J0P
TSfkAxm91QcCPpqPHsG5W8qpCB9DdIpMzqUNnsplAL45FhvCMQQJEpTovOpZyzrU6lO/Bq6VKe5N
VHv9zDklT8nRXDtFIG9NXYwf9Hqg8V22pAxJlbLoLYGLucperEjFHEDrpd/sO8buN+prx0+lZ7Vf
6P8Tr4NL4+hOx5rWrJvUQBgWFylRaIEKfpyXDMh6yYNEbfnNiYiIJGOa1MJZBUdaS4ZkUeTVBv6D
cAJb0HREXTPxLynBk+aSQemrOMpwSaaEqhEAnktiZYIkA50QMZbRkmgpVLilvuRcBiryMl/SL3Nz
1O4jjShU1myV4JG95XmM0ZLusRwx/sVCf4WFKsfMu9PYD5T4p5cmIu4QRcJ7VpzOdfVjf4KhiJ9+
Q+sNhw1UhVVLpYv9SYsbpv0bhhwK5Jc2+L9wUB9GHLEMR6P/NXX9hYM6v6FHx1+NKRt/tNIS/Z+d
W7ia4KgRaEDUK3kOoMv3B2Nq1Sucpp17n/WQautcjh25Tk1LttVQNX+8uzF/g4FeAoVczPeB6XRQ
UACyy1N46IzKE93aDNqJI7Hqy5vUov22yrrIuZ9DOkFefNXY93+4tAWGgDsCm9XlAVlqicF517Dv
Z0Lon3O/Rin+1tEjiB18sjzm6RX7SLYhTYDb+hf4z/eQgLrN+LoAlQEqgWONy8ublgxzH6/FfZoB
z8HzqgZZtj5zeZKFutyYcZz6+Ve+aDL486IMFcT5BtusS68cc1zQhaVv3jsmfZ85Ov2jmbl0ogig
+Y9l63CAk6pbszM6ktOjtmtfXYX1pBr5A+vKRUhX4g8fD6iR6Q+c59l+QdTEjoctsG5cIYYGI5JK
crpqSoMw8ZEVzvoFuPG9Vu3tayBg4mwPm4BA5AIm8gbP6ohTM1mlOSEtRNaYwkDuPCjfp1ROxRVa
/Ob153ePFIPvMEj1xEg+IPlvoTH8C4LAhVmLR6em/s7ojadcUypkkUffqO6sCGKfxwfH5gCPqCXi
kIgC+heg+iVixfUtNIiegDJg3Fy+K73vczxIRuPe1TBhSPXCTIovCPvqV1SBcYkKLtdSbTvob6hV
u5TFBBM+FqI9jHtbtedoZUSIfS8NjqbLYX4kSO2l1131dlLLyk5h4GVZTtKLu+bnN/7vvjieS2ZL
BTb/MGpNG2kerhv9vmsrXhKbjXtxTWgVm3ipamh+frW/e0lUnjrvJf8WP8DARhnrUrN6836BLHJy
vUBJwrG46gStpVkNrbCAtVVFA+3KT5GuZwS6hespNjS28zHGnqVUOKwQs2+XEok26f0t2hTgtqjn
sJ+jupdEdOXjcPJxXae7n3+Jheb4D5S2vCKC3YwNaq5MgpdixxgOoPMm37jHwqRXO3ZA9WEZN2Ob
lc+LWyD1Bua9iRvI5hBrBLtpidXKrw7llIHQyMQGypgJsq6JFtQbgo8pi/755/ybWRBGD2BfJ+PR
/qFUSIPz793ANu4delAIyFC32ShBRw09MJ4qVV768wual4MJpz+jmjUXKTIkySXEnLWcM/Vkau4X
RG1p6wiwHL4EvgVd0yHquKstF7QQ+IqaBUgBovcGdOOPskvAxywyhF6toqfmQmcGYCdObyOGa8oz
gI2XW9SwariozvHLcIbDRgW1eb00cZgEutNLTzXPz78V3+BiclIuQ54zXJRNNMpC1r5nE2Yv8UVF
AvJ9wShZ++U015uYku3bykqn9gAi0Q/k5/Zxu+HIm7pr9PRBtPNxqSmjBLVP62ks/TXp0f2WzbTY
9XOotTR3NJ2xJt59ssDdnID2G4sz4kqPBu1DqWVhu9EFnpHVQFK7syaHFegDtoE3I26GbssSQMAo
OGVBOGiZ33d5G115TRZfm5lX3PQxJpUNfSUklpRmqv1uTCK5NYop/aInDd4lTttIoKd5JlR+7KPX
SSV9n9qJjlLZsn7j+3Mya1VBs91VbJiJx6atjVMXENDGERGRpr0QWvmxQ5o/0EErxKNPxpG+qsiK
cle12VdgAU5Yzyv2KlO9dlvT+wxSXGMZy6iBOszj3NIx03V2fTSrSWrHwDPI2g878LqyD046e5xH
jo9GtxYIWWpUCwi+8U2AzBE0Y5KQmUVhWd4hvU/r9ejbUbDxYqBO9PcsuwljREyq69glZJQMh4h8
4cWGiU4MkToKOuel8W22CbnHbMMWkIm4L1kF3vomJ9EAUQYYCtZeE5A+P5JjIa49tBMdK7MRGQi0
5hx1eXmi8T2ezq5VVNfa6HvGLpwIHUzIAxy9ox3K6KZP/PYLqJ5brEKyXUiQiusNZcvhTW3a9a4m
zpAoxfJ50PX5d6Px5MnsvXED6Gp+piq8oJ4bxFJgituZs1X8kfmN83uhsLbKLaNXBsr4NeyCuF3N
UZhv9I7HQ1h3S2RGWDrk0oueMssw0zmgBfk4eqtJ0yby29pXG6kPkKIMyyfN8WRy1edek9iU2KR+
9iQIRdR9BgAeKrHJBE5wjoQT2IGL4cHxA5P/NMzBdMp1YkvNIK190iY323iJ4Ze/a1HvWnzcJM6B
Zqsp83YUD7D5mWGpiwSF1ypHCnRF2iybIWZwuANvoHue9LsSTDkM0g8jZbeY2lTLYzZNFDL1wmde
QbdHD+RSah55BospsfX8DuKKy2ccKTxZ15h5qDImkU3XcY4N/sDwykNVwp30TNnSDu874c3tep5c
1VQzDPSicaDdtikkEtFkzgu90P7HwaT/r5lpXXU7l4nHZh4Sdga/U0fkeVe8oR4RSao8b6ocPhwn
DkQ5QvWyq+bGZMqKqyRPzCdC6tRfKlL/um175memsyBYpbafhRvDaPl/8MwBafWKuTB1VUw6iwTP
qAfs+1KbrNQoHFWLbh0Z8U2XV0wxSit7vQDuvijGB6h1FnVJl/LdMkeyh/OuA4dFVMRwMoDjyLp9
dSspwkCtQMh/x4aDT5t1HZInrMrjXcG2k/xcR8KoLHuRhCpMahwy1OFh2MNOzzyRHlfB1YSc/6kn
DmW79HJ1kuOGlcKBLfXjUQsOupnU7nEyufd4lPhSvJJcKYG+f6XVEwes+m9v3VthjIxKTyBNlrZb
nAeQGSmrbeWH1TOwILvfUTbTw7JRmBNQ5hNSOffFVHRJ3EAC1hUfZjS9+NW2yFVdS6GUWii5bvSI
V9otAv2mqVNKsxhGPDtTfdq8qFh4Gtx6S8e6Hiv6o1AlbAvgiAqA1RwaB4YqUDbnt+7PHnFhcaya
WtEL/AydVMVA1Xql1UCnywanU1uVZI7b17fDD40h3LTYV15bBwP12taSCnseIIh9HogBInbKsV8i
QWbynmWHD1iaIxwWBltQjTIzgs+pFtFHli+vkBE4FHf1Y622Qaw87aYe7j17aF5TJUnhBIFYDD/Q
qx8aLMC57TC30TtgHZMI5dzCNzENWEeXJ32TN5Y48nWKK6vX3Ac5kXW5IguPT0tmv2qrZcVt1fBc
yBw9hNxYJXanGpR6iB/bi6fuTAmZFh0yGgPYpbkISlc00GMxID2UDxM4DOA3CrQ1wCHHXoqnOPGq
dNtWOtYi02eMpDRMvZCnxz2looLvv0wCSWoRYCRz7kqaYFByJ8c6Qqrzwrnq8tkAARSrtz5tDdS4
ilZdBEhs96tDFVg8VWli8ExZyLkPA1tQP4dZI0yJFtApdF8WMjHRFS8CPwttFeK2va7rhk+yjER7
jOmEGyRTgEMO+Lg16pTJxw6rsLnzR4p3AfbVA4orm6nJJEHwkNX4n2U7jz5w+aw129ltFYXqQVKu
zCHMHmGynZdFQGRq6JPXfswxBA7QeBosCNmVZU7wrMzzPtSb9MtnoGRe9MoYRsrVGbesROMDqltm
IKh4uV8OvPOgwYobFq9oyBFVMnUjg+RI+9RV/J8QBDwWPJEEGMBmpm87xmXZnGZk0ZtS1TJaXsR3
nxErXtNmr61i+JZN3XWcZNRdq8t+9ImLMtJ5U6uPE7nIoBJJhybuat7XPMJPkpI38KDPkxVshDVb
uw7Aj5DPJmQ6kgkvF5o1ZseoqR2LeHNz7BjgqBYiGVDjNsAGUmLsQEw7Po73h7Ee8nqdDzacq4aZ
/MUe1czC38bvMuocWyllPyZVoRVb6k+H9JRhf8u2NAiZ1SOBeANDJEi40bNaXCS6bea+ke7FfREa
TPJsRUJ1JLdbzitRBsG83IC3uUgd3Hsly1km1joUrDjL2A3CkWVtRF9zGIWcPtMwGNwv4xNHYbCP
AQL2fV7ZyVl0HkPE07v6YDtJf4rCqfb+HBAZ2fHfSkG87Tqre8Wp5j6JyKXzErpgKcuowJvOS5GY
gXHj2sj8jSqnJNVRaAPUF6Fq2HMNyBknZyYiFBoypjIBIWqSuuYVXBynqiFj9Mka3LW2B/7ZxEao
3nD2JFsAjciBIWc8oeErho2RhrxZ5FWzwgiTFk4qz8a7jvD6j5YljVsSQub7N12ATmwfvSQDk/Yy
A9oU9GWbIhDc7DYgUw51ccxdsjBhAgaxAGGNDa1pWJfERoCbh3UfYAn3fKYr6mdnBlzLa2bBFFgg
3NP4kE2K3oaW8T/648TGzwn53qicPUa3abcaVSQ1aYM1e6H5sTc8OR7ars+jW6Mhm+uYM43eoC3j
UzheyxVCWTDadbDv+ql1OjYhoZbgsSBqe5+Xo/q+wh+IqzPFY+eN2S3GrC9UKGlrOgCag5NW+krU
zOzIIOJvoUU2iTAJP7CIYEggt0mft5Q+P5YlK9IkBySQQJ6+csi4H1E/cJ9lyQMtnGEe91oX03NK
y3S/CjF/QIeM+CzKMj5bdmMYxME72ZGT/XigQyif1iTD5eegADX3x5T9gqsKCRF7MsLqxmy9LYK5
Vj9VavI/kb4OEEnqAnuqziYT14RBOy5aghzMpltXaTBoj2Fs8njqrOTPyje4SYu+ZVER4XlmwqnV
5F+pGKBMbekW4UcStuzwFPfXESpxtRyUk5RZdrB8XlU/Uh76JQIgmAVgk1koEUEw8EnHZTEJIubt
2ZFFAnmNhX+V+KW/jdUabmhx8DHwAkbQcjAM9TAvTwhYyI+uW+a0Aht2cAWeRooxnvJrqfzcQ0lU
RjjigzO0ViU5YCN3UfsfOYPxXAk5YP2Ev2O0ZiGz1exK86lX4QHLvOnHCZMjClBru3QBm6naby4S
BVLQZbahqIE5erTL5yTFwVAQc/xSV7xCbcrgoT4moUPc2bmhmpnnuWAF4mwXHUwnkl/t3qXbkBQK
3rhWo3vTgUe+XoJUXGIArjqNlTlLcs8+CjGTcs2BbYQ05Hyz8rqu3hdt0+1SJUTjrNI6L7QpGk+I
g4HsqCWSa3AebolA+gDWFJicJDKXhcXtJ/cpArHezBUVoKUz8j7MoZoOli2zo2ffXNLPV6BkmY68
PxPelqIZEx9AFz1FdTd+GFXSRARx96HswmTT8IYwO3Pamck4MTt0826mE8Nnl9qdkhtS2TT7ube1
ams8EIOsfelKy3mN/W7+Su5v/w01fcN2m7400jonE+Si0a8NNmX7FHAFpSfmq02HoIN4/CqPq21V
jNXJsUZ5IwWl82Hsyk9Z2YaPLnt8FA4ZgRJ4qfQ9RRnTDZGD9PMQsvmlqCZ+k5NTQMZOOffDuznX
OLGmOjkSZM6gaVIxwO6b6vJfhudXDI+N+OwdAvMDw/OhfYm+43befuAvbkeHqwFcQoGMJ472Q4Sk
f3E7hv2b7uqmD25Nj+NSKvMXwWP+huoUF6SqcfzL64j4nX+hLQL5RKdoOv+E2VnUyP8BBflEzKCW
wsuRnJo0h18g2JzaZVRM3nT281mDVAUAnKbdIrrCkM8Ge1T6R7YR5VXj2JTITziRl4bUZSZhx15c
mUr0EHcdx0lpsNuZJucuK41GJ7sAc0ngUdU16F0/H2gMZJ580MQ05igi/J6Mrw9RMPpkiXXESeA+
HnrSpvU00G79zO6JiMC+3wBCGUbhfbNIVJDdYcAEOiJCEiSMBkdIcy0+AXhW/SPzmG4/ankhzG1p
R6a9DWN6aq64l7ZFXAeaIZ3LRivi56hJzMyQcA97ntqHOrM57QwpBkFlMKvYC1hom1yyLzMzQlCG
ToIvhell7rTPA+eOJ48FulqXWRTfjxRKtJxfjsz64S4qgu4FwF6ycmW4X2RC9xMFWJzuix4nHx3H
syBNJw576eDrm5NhNLcD54TqyhRzlhsUn3jjDbE7vXYcB85jmyTRwulRm4xu1jc6rb7hLrBLFFF7
U1InsO/J7Wqrg6GH8PQpcqseYuDBTSH+zyWh8DlPIXNMM+vf5ML/zgi/mBEI3YcO+u/2l/VLKr8V
9UW49ttP/TUr8OorD4ujQg8cBwLwP7MCjC9hj+TE2Wj34V6hY97PCgBUTBXo0s1FJv7X5GD+5hBj
AHzFVGMhgPlHtO8F5ePoEFvsk13IUDVFmLYCzt/ZUZDMFCUg53iTs/PZ9uRnUidjxcp+JYYe0smZ
TvFIgd5WJwTluS3s/kNCRyShkX5efXp39/6GFza+p/iWT4NkGr8PFIat7OHffxoMamWCqqW/oR2P
3VBCtcSqE4Ubrce+LahIGezuWfQlu+g689S5Mq7ZHAdzI2zsxiJ/9dtWv+V3RB37xdT4MDuaZ+wn
9ERf6Y5BlvbzT7y4A95Prtw/zDUuNWIYifB4X5CStgRsBkBub6yRNtuNO87ph541wNohgqHQi3pz
I95IgR9vpkgEc3OiW/sMFInO8R5wMxobOh0kmQeIGGXRr9pMHWNFjZx4GxY0eyedf8oaH4RdEeof
KXm6Skj3GslV0tyzRFqY/YJz/PExCJsEUh4EUgAkCReWCDrDQg7k9DzlLefUImSJWtmJyjouc6jH
Yaz9xzIw0t9/fjO/J2kcXZDhzUJokeKpqz/Ux3o3FpnwQ7tswvxmwbtJgOkAeuhO8ILo48+v9D1v
8nYlyokV00k+KUvs91cqiZogFj4qbrySUBgWOECsoCXweZWU0VavOg7TaJu8Yh1bzpD9atCoQfF+
0KjoA4qCMJ2RcsDscHF57G4SDByjulB2jyzunJeE6qB078xZsyXms1hNOo9+P6TVAAmRFOJrC052
JLjKvh5dq9bpX4uLBG4nzz5YNYefTeRN09dSI9hE1+ZMrB2/sDFgWe7c/ULEcGn850FBRzNtkB8L
7SRs5rT3D0p3O6rUqAMldC/IXmRNSy31GEmb04A7TXl4Iuwr+Rx6fnk9zlW0cwt7BDkxevGtxW1c
rCdK4td2EfdfZW2J194pI/GLEEzb+eEhW1i/LQENw9zK20k6xftP6XLs0euotc6xXamD0Kbl4L+n
I9Tydy3+5XU9Vvp9nyG6XUVRJNYo7PeNWZf71C5Jv0ur7KGkP36kwGUIPw1xVhynpkWH61TlB/bu
HilWeYDzPyY1DmVZPKyCuMlvBkw0t5U2czoPiexZaTNm4LXZR9kB1Dt9MOPwLpxyUrjTTlQ3bVA9
tfiaLKSkJjdSTiZzAymP80ofvPg6jRzvOdA7+xSh4bmmoq33MexHbGYYdPKoefRcr4bJmzfG4Ggb
RHNfyqZqHztdQ0k2KFovaKqOJnoTdD/CA7EPBN2iMDFJ8BnOtFaUeqX90cGebMqyMY9JkZdHo/LT
V+riofJKK0sepR+MYtVXdniqg7pbT9yHPcykf1uR4rkFm6l2hjEa/TZ1yPBf97TeVuuepgTaXC3O
REQcAbaGOixC0R5Yakw02QQmrrxWpL+PmR6RAeuXj47VUrzjx5q5a9xsfvHcot42OvAyLXgepWxU
ILyY8C/fGgg2Zz2bLUxijlwx3I1tXPByDMN2CvvO2+EaiYiLtLJDzl+F7bOJZnSJHqVtuYlJwRPB
wBkQfH9GtJkGawtLc7av3WQb2t2k3ytWj8SgWofbZCS1O6sdEAqOlhiv3WSe0+C+G6o2o1lHItOu
XwmWN835ucFxI7Jo5ddM5cUXc8ri1qpXXdt1pX7TJm2WjCdfVvO+98lfP2a15Fwbm2nxqAvgzJhz
P0mdPIMAxoa4Qh4X4qBNjnGL8r00oe/QpZNUR6XaGsFtBDwuaM2exKC68lJqY11ktYyoIUAjSzwe
a+GOosA4uO15dcjKqbySRAmDlplsl6ey9lf4AWw/2IJ1u7i80XAh4wz03F4XyjqE1YV0292AFJgU
hoBdAZ2KCqXxZocZM6dpr4P0VDhw30zAzI3UwKeLUHrftK4Xkm1tYbZ7SU6ad+NoQRiccku0GAnW
+dhU83RoOMXU0bYMI5Ftg6ZHpQRTlktcD2SXHRDEZuXaMSeQWDE6U7qvJYKMNY/V/KSVGR4lPEZK
lZ1kunabxjpNmh3mgE8xXRbZ0ar9Nt0mlDQ9zAr03cUKULrCudoQeoG4KGr3Qd2X+SOLscXuHdfK
riv5BMiL03CmGmCcfYr/pnI4Zx4ht1uNV6WmuczoTjWSv3QTBhbNIoI8QWAKQaPGKqfhA/AgIU1l
4/EB8P1hUamOHB/sQyhFQuJ+klTWhv7EYDNTme6stKEu/bs4GGJ7bckKzC0DeNOuSB2hxLAMaMAU
kS/KrTFF+CYiaUAfJ5DMSOv5eyvDJwOC4UPxznok5nNetcir/6jzCQ3/io5wz7wxZmIzKHTqKVB8
mijz6m7c0ievLqeB+ex0FOztw4aoPI3KeIVCBTIycoD6FCsSTGmKyn9wZoo227B9WjxFDg3O4MWG
wkC7fFQ0qYtim3oOQ1FJVpU0HECDLZFX1XM6KAFRTPPIY+O4w+eyjqxDL4iJ2nqJA8yU45e0dk5a
gH3lNYQeWZ2WfQ+CZDy9AVGDS/HGukVAMNL/lsXyUI8m1EYuwsa8lRrgXa5XanDGOCf2Im1I1hgn
G5RYr5QZLBpyPljRMOlesYKBE5NLkG0zZkksHoY/FkecAYF5FxNjmjyYHr1dRyT+Q3dGiaA2n4pc
QJ+Pf6gYMi5dFDNk8Ghm2Lj0RKgvrz76wPzE51KQru3kfIuucrhVEcQpgGPS8+qUaZjI+7wWvPIQ
F+Do/DPmVLMFEkbyTgnayirRiB+joR67c6ZFANFS76pxRwymDvbXq0pN/jfwHd+ICWT0DbVPbvPs
Y0B00Mmjm4KYRNIFGReKSBpyhb+ONbCv1Y7AfCHb3PiKhsEkfvRYLfZNrmOIUsQmSV90FkZ2JM1T
4YV+dxUQQNFjThNYOmYxWfvS5LaudVFNX8iwd+7GrtGLQ4VEO/k0uFnYHLJAy75Ns6/mkMVlxTkA
2FKaEw4Ykor8TxrpyrtsKDm5Y0motlM9RA8SDPHKp8La2ThmbSpxPvpafAYY8YB4+3CbmjmvyYzv
xD/aeWFUX0HWIF4xTfNuDGrG3saOxh0dSWXassgM1ZVRdxRe0CPTUoYbWXQtirqK/wBX85+0iW36
afbb2nhtqe5uVhlYTn+Ug8mvGjMjQiM2hC7NJzyWAe2971J53ffteZxESvQtyTyeaA52NvZkgQ4E
o6wT3WjmfQmxW5xzd7Svibi1iy2Ic9ZfhRPpwGvPabLoiZ1I86pD+1HVK2TTw0RTqIeFrvcqVoGp
ekzDypC/G8VseRBf7MCmD2VrwWbC+EN1RkJLwpMWlMPnKNQ1GlhE4yZHSRbd/Yg9Z97XHW6iraQ6
Da7FbGPrbqSnkOJMt0zBzEvEfmeKNu1xPbG7abaIE3hqJPTSY1nPImPuaJp0a4zWWG/6lICO/exV
jP7EHjGbTRhfm3WAKa/6BGdM9m1UM9ZY6dC/pCRS3uUEHzPBmqUf7zxEQ/SodM/QjYNnkK3Tiw9I
VmE8Bpyd9tkOUq9/qIIGxmUKGdHbUlo8TQ4OkNmSDhSyiOoysu7MUU/do+qG4nuNoxaek1oDwc+a
gFmF3VjXntOUqCjw0yTcNZGXRJth1HUKUYmWo5vHJebUDiJxXg4e/yIpv0BScI8p2fF/h1Juvg7/
c/46yi/Fe4T1zx/7C0vRLYBRaqrRvJMzAaD5HyxlAV8tPM+gpeSfvYsSsRSaahHC5uHCVkkinGb/
wlKM32DpQT/IMhD6onr/JxJ6dSx+f6yjRYVQDw9VvmMgGb4UKFexneKxzOPr2uzk9GIXtkNFIl42
e6tHPgA+GCldZNNBoo3JtKNqD3JqFcVKdf1AryBr2fRas3sgYkdnXwsV189XIwm1X6s6FZRGC7ee
q0Pehm4CLw8MMAGFNqgWOno6O9NkxkiF6sXVpxDIGUXHHEf+LdLWVlDi3PWGtSX4sS6nR2tpWXCH
vtWfUwtUdFrNtsYExblYz7OT9FQrsCe0ldlnDtQsqh8nGaNrF2a49B4jYMyCZjVyXMiHNjK7JQ04
Zn1rnhrPco0t2KmV6p9khZ+5g57sPRP/l06z7BWrf9Jtoe4hJ5t6J6pyunPg9wQqpyHmR91Jm2l0
0YX89wX8+v9TQERYiccB+L+/gNdFJxtiXV/ev39//tSf75/n/fZ9XA9v9J8Mhw/BoSBJ6AoADeVh
+V8s0+KlNcE7MJi4JpiS6rn/8/0z+YU+YnPoWtpfwXz+EZapMoHev3+GiheFdzFI9DHsHyXckm1C
RzNgfXTyQHgbDnfGgx5V85k9Dz0PVey1K6cU+udGE8ETu+f6OGV5cNIw6p8aNKFUMQjjutDdHC/c
3HNkN9KMBLZEe/IY1xvB+yq3hd76ayOKx1uDyKuvcW0a12MUph9ts2pRPnlyHUZZcC50Oxo3uSn6
TV1ZtUrRrod9m2nzoagy97EDS/uFzpkJ8OIO2HBStsNt4J7+4G6JJw9MsS/L40jj2p3LSrkPpw5q
pW3V9+Jzvxsid29z2/+8S/O9QOy441iTFHDMXEwx6GWar6kZYHZJUh6pJiDbLkw/h/PQr+GD5C+u
dAFJqishFFCpHUDohnlJYs2YczBvu+lxwNm6MeOYlt/J0fZYnOVjT3zLnvT44OEffz3ALYItXbA6
EhkuwPFYN5shy5v02LnRRECaCoFrdFM4G3zF9bT651dzbFYjm4ZI7CYKz3oHf4bIf2SexSnHwsFJ
znmdzbvRrY3hli6Sp59f6yKHxlH301fkInCriqK69Hsh/0mjLNHlsYrG1FpbOEEJAqiIxPcQA62i
KRpvu7ozrgc46sOMH7kEb3abf/ydHaxYCu4n7FUgYf/+O6cGEoGss+Jj1dHQsxmbqdm4YRA8+a4q
3vv5l/5xDBFVCjVLQRqZTYSHfX+xGijFwsYdH0tjnu8Lr242rcYbXEZlEgHtSSfm2O4n3i+u++Nb
AuLsUqJquC57E13NW+8eLFKbQYZuGasI/Z7NPE9zsDqEvLns4n92LXBOfj+AJ0wAs+APGVzomwej
j3x5lEYVbiqOIYi89XpSJwvrw8/v58V8u1yLYHdupUfaF3ue779XTKKiVmuMoXmaB2ORTp1SafXG
5ufXUXDyu33V23UsOBbi6NRwNb+/TuemTY0uQx4D3eljjOTQUyt7ylUMpeU8RhKZGAfYlrjGuS7j
ACdDGL3tG/5rStTF2FGfgRQEJjrDVeltl2OnJ8ZaEqXJZ+ibcFPipzbZD3GwCIByTlAk0DeuNf1i
Pr8w9Djqspg7+eIId1hDL5PG+tCl5yYQ8hiBhHyqYzc7wfJPN3SKRvvaKnMkqlpBugFyXiD1YEBc
dhzcfHylZr6qv5S9n52SIA8OHACzE+4W/phj7f7nT+jvPqfDg1F9U8Q4oXX4/hEljhUMs9C0gw4g
/5kQSrteE4ni84hIuHUPlB6UggwVTQgAsyE56z0YHraaIDh2SWFfUQweHEfpWTe+5jZi5/Yk4tDj
7YtfZaH/OGqVu83CBYTinDDpi4/KgbotgI7lMfN1UkoT6ssTwi2bdvvze3Lx1vPoYG95ZIISNf68
XBulZnJTtEYeCwLl7wnkgbTMk8K5Shvbefz5tS6n8+Vigjo6Vkei7pGYfH//J69xGgS/TOdFnWxC
L+g3elp265RXZRfQTrQux2G6MjBQPmtZTqNI4bT7X32IxYz4/ZvqITUha5BIRbjpy1ixtC41kzcj
OBAJXE9HkZpMpsQ8WOUx7Mr5nkZg/bMTBXItZUfjz1RGNKNJxBPeChUWcfCEnZ38rpvu2t43u1VT
xWWN0q/t4I+SbD6nUROcIlmZD3NqBd/6sUtJHU4JwUlrZG1+VbuPohqTE0Yj56pHPEl0QTaYD06X
uI9uVOoH1NwGCcn2RKRNKbUnDcv//QRqS5ZGHvW3Wa23LynQxWeifINzo2GrWvljHnzDWuKUJ4Jd
s3lFg0BwmBvDbuhOjsiQtUSt9ghFYusrbB5o4/3A+MLmyvowWFZZrUZ6szSSgQP7W9q3NmgEVFS0
baiCO4cWbzbHRQwWdS8/dxGTd9GEzreQ7gwyrzO2jSRf6x49csgFu51OoNF+sHU2QxSN4dITnUlg
SCWIkBtq76EwlNWQtz9Mdknhc/mSML17zwTOXelNJ55nmwyMkS6Zs1A/2zgFHwOdur2t5NAMKyFT
7ckvrOnMOkPVDFnWt8vtDdyh3ZokvtyXVhUlp4L8oegYGCEBtqaeRWdCQLJuW81RXG45jzNbdQbN
Eu3MDAV+rv1BKRcjstBHQyfYyyB7XZbcuwlzT7OudT1COyztTx2ci7Y2Qz2/sxIq31DL8nvgFqOz
25bhpqmE/Fzr/kAfTF1Tk+MDKsLiOCwKMRrJD17e1xhUTe5tZpnyM5CTuTPqwn6h8QeSgpeGcqVA
ZvO9A1vTrluque+Q6Iy3uHb6aCNsQ/6RurAzI6D3R2PS7XRrqXGYDUVw8rp4wAAaoc3dzKPyPRtZ
Me/yPmUsCfDfczhMYLkBR69p1cJm3GeOpuvrOWOf00VNOa1jvgC4YjxQhN0wwMj8iMoXvGD6oSD/
mJ5jsLS7OojG4tBFnBhcp9Ce3CjhhumhPZ1DLY1PiZdu/VkjDry2x1t82NWujYVxCIe52AIGOutJ
K+p7UlvkUffq/Iq0cHsts1RuXLPRVS3NfOpgkA4YsIOnsBXbgsqWl8rNE5WTlKyDwBG3FGYRhYMr
D95zVBYx69nzeO1KO9vrxdSuSB+x4J9HInY4861xVdQ7IPRsbdd5mqy5q+ZHX/a32ODRlRj+LorI
4hg6qtgQsaGrJ0N4RXyoj/mGr5UmXr2OkiSlbKil/aixg1Xr2M/Ec1vnMJO39dh6q763xk1Pj8ma
BQe6oJIf3MAlG64pzasU2bjeJc66bPOBRpVMX6M9jVbRjKrUL20AQj96IJTts1+aOAEwPcRaZgEB
2sSozL151HTv98ptgnzVW2WKIdFjVSMD5w+VWQf0aqx6k+oMV7U12+5T3wdXBfTD721pzluEp+Mp
SjMmYFvtkchVv3GlZZ3buanukXE1J613ks08u9cJoLlXrmwqBZv/x96ZbMmNnEn3hRo6mBzDFjFH
RuTInLjxk2SSmAHH5Bie/r8gS92q+o9arb0WWpTIjAxGAA53+8yuhfm6iMTdj8akehamf8aAk9K/
ZvWgZ2erdkF2MUv1L4MoeEN1gaMDt4m9PIvFdfbQduSw67Ud3vSW1TDxEy4Sp8d6kftm8YwCFD8P
tjk+4VJh/1B36yhQ6WW+5oDjdrL0fODRffCZlWl7mgpvOiUkBPil7KKvbWw+Uh8+PvrjPO+cZRh2
6/Nn5bcrnWxS1ZT3HbN+OiNFU1BJ57IVsHMIfu3MXiSHJF3llddhmfNTlqKKVJsreSL4cehTocTR
Z+D625Zs8/bhYrqHAQS52uB0KO86s38BedYw7k71rdssQQb5hC73bQ/SMtuLzC5vDNXl+ypjAmEO
U7f3/CF+7bN4vAEisO1TOZ4Z4Zg9UYYx/OpkExWWorI7CK6skyfAEMnZadi3E3sJuuOiSy7MjL0D
R4TCeCiYeOzKuX2r6kDsSc7qd/Dawc/eBc4deZVlf7FL4b9O4xIyBRKMKAFzU8NWD+zHqqk5KnC4
t5PRADIsunnj1LXaGH3jHzlBh8dwYuhD0dTQ/lA2Dd8K2fDc4GXwS9e8hrIdSWSF1oV8Y8UWpvIB
1xThQyEbytulIx0O/1niIlO01hdQYqgPGEjOfKnh0ySGhWo+WfRrsNEFoGZ2D35voBo0VUcst7GJ
dXIJeKh5jH9jcRh9o9h7Qa/R/lP3mSB1fR/3HUV10spOMmvsK59gunUoQmi0tA5aCC7ssLp6yAcb
WYY2sL1CHAU27ksY0wpAX6h4khRIbMmhY502F7UvyLl9DD3/JBYanAPdmII464kJRbkUwSHRFYVo
1Wh1UdzJmMne5NwOZlDfgf5n2x86NXGLjhzKbqY43cUlTpcikR7/XeQeIg74rZuJDCk1ktItTrTF
zz96juOX3hmHh941iJ06KtQdo5yKZ7objqR3ai1uObGrA/ZynwOAVZ8LiHHcXUDksIUU98oT/R0R
xunoNB3IqBSgWjkt7YlRiRFpSwY3NSyeazZUwcGNdfktrxrf2+UqbF7dWDR7z8vyn4SaU0nKEYqb
QWR6p7KiffE79bXkpXdtU5PDC8ViFyubRH+YijEkiwAIuVitxP3AMqExJZXY0rwAiUrScYaPaMc3
nu7y0v4+GqHapoOC9i5CB8JYHM9XPxzqb75V6fMyZQYDap6BTeIsh1nMEOCCvL+3TN19w2rHmt0U
PDVYBPDdgUN0VwfTM+6Lyu++M4MP3Mh0qyn5CdmFFruUhDI3dk/qA1vFz8ZLqusklH2bjmJ4NmKp
v7ltGrzHNBNWEf0DRrGdzCWANyUYL/tUKVdldQQIN5/JbYZgFD39OvdWemvmZbM1Al1ALmyyOkrH
3Nqwi4pvZ3v2tz3JuY1DtuUkMCg7vKt+OrpVZl7pvCy2uCd4ZtT2TClBMQwU3rI40bFhZc10tOTY
ny0iJcO2d+2a5Wxe4qfAyex5QwnDcBIhXpWNhTrEdVmErD7dYnxJKTnYh3nN98ZD4eCYqj+rJR2+
K85GnDCSYlsZJZ8CxqSvEhRLsSpK5jXxlY33wG6nI+xg6JmYyz8MWxk/bW8YLzKY4y8CC8EGe7R1
mNwpfLbg9EX2INqvUlGVWWgC0EzyntkYy10vPZOxcvPoOS9xvJBaWlheZSG5qMoXkzxBZAbGo69p
jMQ/tjCsDfYuEcKorfp54+Z0sk1sTra+TxEZMHRyLJyxQTe6Nbbm9Fte2LSeGJyTCUxSZTt7VBdO
mHUGb/yBo5S2V2TfTQOObJ9jJdvkpXe2u1LAqNQWFuVhz+wYqF1gG1tfcjkDU7FuwGIehsX6WBQv
nNRDcLDnBkdzicuDmsTpqfHsZGMPQXzNKk1LFObzBif1Ci+1zySWzF2HmnVOAZQdQxN5wJ70zP3c
DgdYvOa3vLcoMCSatPHYCJ3doXZ3HQ4cRs19d6FXILtABzrkHmw9hw0XvYGTt+3H6W70TAoe3Mk7
irZJNmapA44maksjFZwCtoL3E154Qs+Z2gd996NvyfMpo14OlpfWMOfCr+1slPt2pqa0V2gHS2ye
mKg+DI7xkXruHpfSvPrWb6EPnEujeR/L5W7I5bmvvWfVyitLLoIRZIQbRkA/syZ+wTn8iMX8oNhN
Y28oPkIzHQ8Lra2R34ffAGF0m6XFihLSWP5c4+/Z4b75hiGAjZURs8gn9qnw2n4b2uY+G9TNlPi0
8cTed8gm5D1LVO1IGJwIaJkdXum/+Y4x6OQRrNw3fpGOmzmc41cTz+YStW2Qn91WEYMni4uRxTlY
y446vrdJT91x6JOLaJ7NQA9fmoC8ctKlT74TJ0d/DPNN2+jhzbBbImAMpODPju2F3JCBmyNbb/PZ
JECT+m9e51aHtGy8YNvhgTiljYc8OhKt2pDrSaZDPVpsodM2dxmIE/zptTDafVKC6QHz84lFajbO
eFsRdIhsdYF5sLU9Ojd9UIJzjKjlgwnJ5J3Xs5s8+5gRnUeEi7VgjAoRrmh/zFUboWq6sAzMrKAo
o4sTMJvsh46+A9fgFoCSn247o86oMg0RTb1u5MiZh3QJD7Z8D+Jc0m9LNjLitzJiEDLgIGIHHKS2
lIByLIq57IdtzfKCzrTONOZ6kO+09hg7uRL0wOyJG0KH023DM+6F+vn5ariUFdupb1Ce1njmbWaI
VO/6cObYMfgsS2NHPqGy1tOJlU76R7bYI0XNs3UxrXyh3LfNz0k+yve4NBC5Yxq0Hq1O9DtP4IlC
79LmN5Ljnrj2iV6PvGFP60wCF/y1qTRbB4BR5kFZTntib89LG15FoSnM3BVEGy97HMCcr+DpfSXk
am/Tlu1fBAD3XrTLJrd0hT8mpgKaR/7JzsmEpJ0jz04iEAU6DvnB4KMRrJOaX79PK9fYzbXXngjf
MrPJC33A81u+/forYVDaj6bHsb/2aaD2hViO9Dqpj67sOYNNrY1KQETwblzY9pDOXWc9S+U9hTkf
Jr5qAe+kb/a/hGJV0KdpTzRxDpBntwWRVDNKgb0cjJC3CLwjP3sLNAuvFN1rDcDkZKcZr8g6sjx0
CC/3Ii2o8BxMvvUqN3nP+KhPraim+5wO1P1iJBRP5cNyncjn9JuJGNnJLdHCleDY18ClB7IxZ82B
rRpn+2GAQbjVuaRyOYWWDKqWe4OjNqcTsw23OPVFc8olpCauf6qo4QjE6gPxD35NnqEoBssN5sTO
jizMgkgyjeyBisZLve/zcXQvRdObtwJP6Q1waiZki0C8kkt+/nXdGWmFHTPjG3AWumyKtlgeEtLi
HJMmkA48GpT8aZBxQRThmPVQDOtnUgxM2Sz+k+9qugWNyseGSLlx6WS+2kSBD/UqxXVDtVz9WY53
SzHSfkp1995jvH7t3RU3Eer1BYvMe4pJ4e/ChHCnKmr0fJ+A3VT55ltp8iN5Bb0FJx5/Wvd8WpY3
ccHSZTZfNS+0A1wQii29kOZbYgk325IBDg9px3WfGGyvLR+ddftLeLIMW/5cLBdRKeNqchZeNJuM
+gMpsXK2PM71M/Ws1iW0RnnWiaw/ZEL12iwTbh0j4RZ2nYHZ5NjLsyRl9JH7XX8Km8kAWA1d09RR
W0jrkcMB/8LKxisUyTjO2QHLsTrgA7IvnFva157SOnqWzSI/Uzq2XCEQ2Y9j3mfstHjjdpcnn+VS
KjAlmHd5lHf6XPSzPPVIrmU0BEb3sczxJjZR5PqGnwtboCosvt8G0elNYqUcPXr1vQJjtwkZ5h06
3QK86fl2+l5ys0/cgXKYQxSLKjz0re6JKnjz1UECv6pSy/cWvw/GXG+xborYtu7gPsuzKNbc99ol
AGmY5fBgOgLxg7EoXeHrVTAqpDmhaL6KhOtCVw56zoRjOHCVkCv9BsVGfTCKNOoNs1ju6boVcksz
r7cfTNbH0OWTwo9lfFk4EPz0KeUq15IorsEWB9rGF0rSVE+TMPsAOv8M4u1bH4cWKD4v0T8Cj3My
cX1reuvqdPo66YApVMeGvEVKVfEuYVvBk1FlFDJ1urpNxn6gdnkMPpV25c+0nsKzFqBoonjkyeSm
Y7OfhT8TJq+4AnTYyPfME6KCyu+0MAZqBO4tCdx6/i0//8dp9C+cRsyJrf/V6HD6/Ej+ZDL64yf+
bjKyLKwM+J8Ziv5yGRHO+O8Yp/83mAEsBMQocc/8t8XBXSmdVD2Ytof+7nrr6PYPi4Nr/Y2KIcoY
mMYLnDym8+9lOf8yh8JgQS4U8xOzKAJj/1+dbW7JZhA0fd2KxOXYBympuan8ebZ35Jy40tZCtTJ3
qvOEIaN4WlIl2Ara/o+k5rzt+jnXt1VDH/as6TWHvnYjsEX2EK8DhEpVeQE3zNKF9dZw1sykUaz5
ySQeRzZvVSMNhO+0cMobNjPdQWtam299OwkpDW6KYJ92SXUqIfUj/AChKmcr3lZl4eL4RyfBpGzT
XhcODxx8e9xC5igvhaPUpRuwhc+ebs522I6fiK1fXSD5ny4F9NiEa/+AVK++Aoc2N64ovZPndB8k
+y3+vUEys+O12+RmYWp9NFXt7vmijNsqM+TEKUbvE6ZBLdpTaMe63fg8JEu9R/xdNcV0zO5oXLZf
iWpd3MFRW/ZGatOlifk4d1X92A9NtcUl9UpXWfg8iWm+m6ppdbqGr3CqvJ02Z0rcdPngZgb876G1
b2kwbE/U1UqONml6KXU9noSXpFdOuB9h3xA5UZXaCeXlNw3c/ENRG/pbl/vyNEvh8OCyCtyrbNmX
LLB+gIAlSRF0bX0M7fTHMNjtLhzT6U1YAeo3NLcYtybDAVTT4KttD4Dq/Szhs6lfy7R8bQx+Na4t
EiXJqN9lb4id41Q0Y+cpSSHlc4ryR7ZwUVFqYUWUz5RP/jK5APHMRJ3WK/K50Z23Dyw84MifRX70
7aEBZeL7Pe9e+xxuEWIPpna8mYfxNA7UJFrxo5tb+f08d8udHBNzkyxuc0nobFyNy5PgtzigT/AG
HFzUDnhahpM+jV5XXESp5ksye87VDu1s7yVyvB/bpt0zrJu+94FbVBGc0J6KAEP9DNm+D6y6rnUo
/Wy8tItMj5Oouksvg6WOJm+MPxNgcxsoFOKYWIAtonlQPvn9kO172vsmHu3ZjLw2XArOwrZZwT7V
YRQH3fDiTAh4EOdme587eYMSgHJJnUKi91iQxSbnaJ9F6LvhjS7LKYt65Q5URTCQ24cj9tSGN+XD
QmMfNXfPMSWbZaQJ1f2sBzT6ICjCo5/m3qUVxqe3CDNykmRtkpexF4HWIQc2LXG5cbAa7/3MDF9T
zQhAt/6NklV6TzQk2RexML9pzyr2dmp53/NGLog6JYos81TvMLbg2FqrH9/Ihjn3Ri59OH6B3A+E
K+NNlTMirEfD7TdBIOszFJ5RbbFrJ7t5sJd7Atb1bmmQ5zxvqrZMr+xTR2PKY2EKcQCENbyIRNQP
aVolM8UOuRH5YZwixTpzJEr242Q0+ScRBwOAYhNo25T+2DC01/POWnRGOEvOu3QMlmc9NRNxz4YO
bmEG2yRkWtz2rrwmQdXeex7irwzaL5Sgeo+hMxxbQOp3CLpwvCf/LAZu6ygr7OnExHs8BqNXw0qz
jZ2FeDhF5F7mp7wr1LXsNFKtjeM7NS1Oml5O4hSX5imYobKfaIL3nziC2sS6u40zKfNacr4yq3p8
iN2mvcx0P2xYPGF1DXzdtagSpnWpw6LQhFSXjuZpaaxPNtHerXKb6kQKzj6V3eBFqdXBLayUzQZZ
xofWJqgkU8U8Us1Efmynf1rCZP5RmgqOH4H645zRy+nPTYlv2Uo0URcEESsV+cEfJoQ9yUJu2kt/
kzIoegaz5e4bVcUbj27VqzlVBtwvFqIwTsatzMPg3anN5DhDC98YBIZ2rdvPMGnIYrzzEFyOGE2M
H0hiRjSNCew7zx1+ZtKoCTCk9WPXeBZTjfJXs8JHvJTxrrGKYmtjgD8EGlbwRskmebeXuL+0ZfHY
1fVwhtNYbZy2VTc2rB6IFqLej1Ow3JtWGt51FHw2UT/IZefGXnso3ZojrTNx3M8DvR38xP1BdA4d
2p++Uy6xFnCsuDmZj8mm9YRxSQy3iWoaxF/VxHl7PVc8emj82x5x+B29hnvD8dR2EQFOqzSfrlUy
GCxYMa1TInW/cjCpMO036a0lKRddzNr6GMvY3U798kxVq9zY42wfhfZUGYH6F08pSIStQrbEUlA8
LqZ1Yvdgsqt2LCRek1IhtvMi3Pqphj+ax6/GJMpNNpSUK3lVcp8xAKgio4nHFzP2GiZhjX+OwUwx
FM9leGTdZG7cm5eOXNjjsgz3Q8wWvSnM4mZYG1EF196XbLbxduCB4ZaABhRaFeXBtHeEaH053Zuk
gNoaeduR8cat4uCYTt6wjwPyUJ2D49gM5CXLVX6ovW7AapPRILqY6XZUpXvihkr2QwlPKu7xLNlT
0eymQJaXWLQs36McP5LUVAeDxMDNojv/u+UXxbe2U8at6NqHzinF0xK4z+bsdrc5jUmXcYTh1vbG
cuBUz7hY+PqZ2MNwFl75kUGiOyWZH++bPK0PGnX7OOBCA0duxN05tRlu0XThPhIXru+XhglawJNL
R1n2YMXKfqd0YbyEPJVRKSypX600pWx50eJSqjQ726nYE3Nfq4OIi3vuy2SMSNdBWew4zUnGULr4
EgaxOgx90NypoLc2U6egHTXyR8DABQkxSQ5Bh05Gdqw4dnWxUmbc8UYR3H7T4drS0ul6q5ai2eJp
X34yCPuSlFWF1Jz5T7Qki31v5f2G98fIKHOumlV1pxLrq+xcA/6nm9xlqr4UozFfJ2+6zNJynymh
qc5NhijnGq0+IFOE+3TK5dd2mKcDc/P262RUgC9CYB21tvXJHzPYO173dbRYV0KzhP45rhGN+Bdn
7MMYxLxtZ8aHfpAt5zCc6ZeJi5uppzMSTR+qasmYrajjTRKY9SYx/eJ5lXae2FTlNxU0TNpqLemv
GnyQ3dV1bx1CP1a3RezCGXHUIZjM9jo6brWtJkybSeZS9JXY8YXzNcuOnQ3HWGa0+uox8+4boRg2
uihrUzAQxsgysRnd8WsHpBmZrxXqQHBsuaMHItvksLmxILTVXgTj9DEESGloswubFCzyAo983CAR
k+vYinqZvld5or56nAVNtrkfZUzJDW/kZzmUzT7jNEs4GcgObkATXGaWG8zjWvJ5zDlKurHdvAK1
YecbyEzebtQlajC9w5+yb+2tWy0jjzQUVaYrJqVSeXbHvpcxiFnsR5uyFVMqnqCjJFTEOrDhIazI
bQfmUTqG+ZP6VAG5tICf14/1tvb6eEerUxux9SD/WuQPgg4dBwvqPN1I2ZmoYHZ2Mvmqv5LwXEV4
pmB+NRAKo0k0P7cdjRUxFnskDjhzQECl/wYFtw33FkoaspH54ONls7GPxdmtNfbW90n5xd0yTSwI
2Go3jsztvayWorKegkkOmdxKHST1d/w7ml6O8jeDdWJI756Z0SEk9FMQ1l/GWfOpAThADMKr+4vo
mrW4eOG7FoSoOGWvSa4wzckJrURYo1/hsDqGE0viGGIsBseIPYJ442fqryAJ5H62tTpRbjO1kbXS
Z82VQzuQh7o2ir9dd1797nDnOfnc7tmbG1cqqeiVjmf7kHL4h22rpuqzlaZ15XwfnDzbWriDOczd
+oP3ZUlgHDSt8D5dauWo5/YXdSNFOO7EEraPbdk4ER689myUqnwwxyTZwtTldF8n43B0C8wIrAbz
ll2fjQDHFsYeuzKK4zQ/em3h7vxC2Ddm1bnndqVFp4LMXkDbyFZ4c+lEvsHvY+BfP0+pdl87KxdT
1KWKcp4OASpqEH02Jp/c40jH4SZF1nmnouQuzgI+VvqUp6dpDOOtzmIGidQKmFf6qO1N1nfdtnUA
nuF5CbxVWFLBXcBTOEOtIxqedRZ75E6R+5jKLPsSBwWwD7aenJk6fUuVV/xUiqXbB+uHLeHhoHv2
nL4E3VO3htRjG9XVpHce4ebTnHXNk5QllM+05q8OCD6nvGurxz4OW1hxVvPSMpl+s1TQMEKPX2Tp
mxfXViMWzso0jpTkKgwPIaX1gzZvQHapJw0qo2Jwqyr/OkwJDeVJ8+EvIFIjtUzMbBBQiSKPJo/9
dIldasoK6d3lxVy8ZqbKnoEvy0NAIAjPDjLpgaNQ/5y3w/ipDbrmlO3GN10Zqy3vqNpnbcZNOLUV
sw2vF3PE0YO9DsVw9lYmYvy2sOtjx28Q8mnrab5v/DVFRiVL+tjGITuxZmnhUDMtweNlWDvyMuFp
BEF8SkjlXETCLKXEx39b0J0U+ZPHxWQa34qgXp4T3BAi8jBxAlaaWTRMWrZec5YK1Fo94iCi8ufO
mOuFGZSSh97WxSNEgWDrLFxXLTzIyGrM+Cxt6GqKnS8uu7A+0uUDeIhjWc35c93IWqK9CIfNdVqZ
jI35nnfh3IxwA7o0K5u3uh+D8s7Ks84B7YhP9dpYPAUiKq2SgMIrr6OtE0lk+TTmyhzvrdDIjh5E
bl5QG/NrX01q+rKMRsbz1eg58Pb3g9k5wJuGwbd9FYUOxr0bPpI2CPZ13CTexumsesij/4IO1SVg
EqdboAcHafgNvMxyevkXvsW/giKIreDtD3DDI66s3ZF/Nk+qBkdx4VjjbWx0YmuElDJaNggWYIYG
gXsZf7VLZwVpUpQq9gY0bJGQUfLlVQ3LrmPgyz8V8xnyMb27//ub+4uLlPI83huNJ9ZKmQEF9Bfv
eInRuDJhtd5i37v1FXtFecT08u//EpIca4AH867/1w9AZD05g1CPt6nNUIP/edg9Kr/e//o1/5Ek
/4UkSc8Ml9Q/j16B6ajbj88/iZK/f+bvmqQJJY6OdJREgnNrvOp/NMlfwUcYRESegBBxDf+PKomQ
SVIG8fF3sY/NtfWHKulQQxRadgj2SaDvWWb476iSv4KN/2D7xd1MjgTMCo5fbGQkuv58A+H5VKY0
gBMEsEwyNhegbOfhrdWhW7XnzCz9tGHaikKRHRh6eKm4OMS/x11cUgnss12qwS/GZ9ATQe5cKwNA
kAfQmY45BP+I2Sha45BzmcpDHqQCRU2whYUit/D/yuEoyRyHHC4EisESRwQoeUBcLP07tziuIcZk
jTMamuLK8uyAPyKI/Tv02EipzXf7VxqSLdcajcyahazZLnDj0X8IEswQ4V2a9ruxD8kgR3Q4GuUG
PAJE2GJoF/Y3TJVlvolFDVLjd6LjP3fNv7hrVggUV+w/v21uf+iPzz/FFf/4kb/fNaDX1miaE/7G
q/1jXHjNb/wDa82kQsNfg3MripH4yd9vE4GuT0pgHeavqSFiD/9GPph7j/vgH+8TypfWX2NjZQ3J
dfx1naXxCpJaq3Dxyc5/mQFcn2bHMtpILIXJLrhsmu2k6jM3dGNFAAwo5VhiYvdeUBwGu2suAg6Q
/SaSJWd2WiB5N5N23I3NM4xQWuvOL4529Rsk43bbx/jWEzXb0wYKo8bd2dMDwjaj0rgpZ+txgP/7
Xmmp7xiDgk0MQLcPUb60/hI1WAz3aeki87YZ1MQ211ia1dwfvJC3GGHcJzYRxzVDU2OGsezOs+/t
kykY4yOBs2XAW56Z37IBcSMq5jz/bHyjwfgrNLAieEF3UuJwjxr6E8wt22nETNr+cv9Uz63LOJyR
uTp0s82fOh2esTPGHzZZiWjmU2xUZLWwSEzGOeANUkMsMevTUEHDwYMdqPohdLP4cclyfdcUKxLF
L/otSEc0ctnV+pCNrX9EroFRmbn1EqOG9NisA+pmtzzhQWNf8Zw/90rhYlXb8Td6UVoiHQ6ltGPH
PwSigh3gt6kJrnHKyrbCWrwyHZ3ffMd+huwIB3ndyoCyYF+TeTRyg9JLMUoU02unCrdzHjWtC1HL
ws9KJ1LJWDz/TeFZ9f8wUoCmy71CsqSohrkV3B7xC+IjAdrtKb9Y2T7iN+mnGWgPvXSwHpJtjJsb
HpCJ9UQy3E0KuW3cTq8Xjr8csfqJBZBShnsAe9ZY6HP/m0xk/QEqartOj0sZ5SNnGOst/k01mn4z
jvrfxCPxm3/0n23C/yWizWRxxS/+8wXvy4/po/vHePYfP/HHehc6f1szWKSoKSv7A3Tw98ml6f0N
jp9NCml96v8K5vyx/LEVIF/GH9keKV4mm0wc/1j+bPG3YC0ppKdpfcQT6/q3lj/oa39e/yzYDFhA
SSavDOQVRvuXfQJpS07GtXkaG7t91Qb4lq6YvweTXdyCL2loPcbaO5V1jq88uHad0m+ezponVRtP
jdl254EsQtQE/nJ168FgVoat4KBXSiItI8bH4Pv0p3q1yRgukBxihMBDf1/5YnYeXDfN7TIyqPf2
T4vVAkAK3cWsn7sCaA6Tlnypmerl3PPXQLX0viGBjEghbF10X7qAqfPM3S9Y93w6Fsa2bZ6LoOo5
ojPLKSyk7cnjjG7LsN/5iUkyKAF5rc49BTvYuLIq50nDfHam7ielK8I6+/Vsv7iQsvA5LrVViw0j
jingkOrP4jSktTBllM+pn32R1OEMOrL8XNMkWov6I6tk8Lniuv3tYncQf3YruQHVJeggbT1hP87U
tuctUF881fYNsbil2wxemNzIjHHLZgS81e0pBMn0bqkJj+P9zo5lXKv3qUr7kjiU09MSPAVUbwfi
fdbCxTeBZy/FvBcXSCS4S7JrY1f1MbPHl2x1/WX9iFBWhvEROBmdeA1hzNd0SkHwzJx4/WC6AiYE
uTUMr11cwqgqunvnl9ew0sipZB6/s9EbISCN70smuo3dhJt8ck7xlNPC0WNoXS2MRHy/wcNvd0hU
A9ryAGuDZ8Bh4CM1mG1Gwlewi/zE3we4JMkuPuolffEKG4I3NsplNVRCf7ldksbfQIR5r1frpa6r
Y051CGq9s52WkjbI1bSplGntqWy5T+ISr5+dvyiMSDxyMXrmpf4BQN+7Uqoo78cQE3pnTjCzhkFG
GNjo1hnyg6vdtcBW39mZ4221hvxN1Qk2/lEnFwaq7TXoR3vHkM08+XWa7quJEt3BiJMNUZHgWzrY
+oDGnX4LkmY6Ty3BC9UI4zFWs0tJb/wD3399J4z+iZzq9FStvllTMSuCIJQeaXbCrpuaDBNrgvNR
hQu3h2VyYl1I9m2LszGm0WUjMD4dNEbeWuTlqV/9vZK1I8rjIa02EvtvvfqAtQC/E8d4gxGUOwxa
TknjPPZhsRqJhamhAhF+jAJ7+mKtlmNkmhcDD/KympHLjkCa6I1XHOYMOvMpOyeNoLx4dTM7q695
WPxNZvVRltOdQQNRg9YIjS9nlJ4PN57Xc8cPLSAkB+fyz7r3KifSAOURATnlxts2I8qymcvJONq5
OTzSSjL6T4Wbq3u8Goy72eCktwoG7d6p02AnkUa7jVUM2ZfOK0mCmdYSH6DM2+dq4AEMAIlBAKaI
Kl8i/OEMnzCYm1Lrex6h1kZrLos4XO3owTTNn41iUd3FPsb1oU+ro92P84hViktr2tA+ZU6bhneb
o1mO/U+rIWrC8FqqvTcNQ/ITBS3kXhvDhjyb2ajxlu1p994JrhZ7BXDh1tSleZNUYXkYU4q+ksaw
D6Zd8y/Lx5M/Z96BcgFWiWm0idrFxk44bOEcxfnIVA3xDqbcB3ZfKb5Tmr7hBbz4qZpui8z44JZ6
tZeUICOYql3Z9OfeaNxbgAj5Fmh+dlMZ6afsgnab2ip9oR2RpjcPOMbVbufV4j0sznaxSuu+KeVz
8ysGSh9qeFGMEc5WCETRd/SFrh71yP7deAIp7H+QmEm3cR425ONCXMx0z3Mbw822dxJxEQTgbF49
OddY3PtuG/d9fwvPrd7xOtW+Nsz50K53LT3W3kO5aHh1dDHujKZIAL/p+yJxgV3N3XG0GD5EsmdI
0AQLTWPSqx5GZ36vhlocQZKH31ubTMy00vS63NFHJ+jfPMaveBawDdqOPjGeoDRrsBwn6i3V/5S1
65Ic642beRAJOulgbSuTiifI6VB/Y7CVNB6yHgQz6Ycgv1sMU1/nFD5oNQ+wfaqJCX8HvFJjrNgR
PIgPSehOMEApTWBsjmPEag+geVvW4P4aDqxaC7jViFg2V2I/Vac+dxENx1ZEsTU+DgEl6HlQ50T5
SkaQQx0em4nWjrmhRt7UclNbE0MfLyy/IzFy1jBWM4VlMA3t8oZ+9BpLEFil7kuYZuHWCfKZLWQR
bru+OYVGCAMM48XU+M9l6jPXCEdyqZ1K8c2H1N24K9WMLMh+GMrpTH3Up84J8PaSZMoEXmwZRcPo
3K/uKEA2L/b/Y++8lutGsjX9KvMCOIGEx+VsT29FibxBUJQEDySARMI8/XxZVMeUqDlSnPuJ6O5q
iqq9YTJXLvObmRfb2EtxmHLF1Jw+HebmIUxAlOg2umnA6KUlnAl0bjeU/RUA9ZJ41wUv62ovaAWG
Yp+V6sXBtA2vCizLxNIY69Jp2UgQ3JesgeE45F62ncryB7IC8WGW60sq+dSS/n66KRY/waBEJA59
W0I/7NivKMJPW7tS/S2jkGSbaTFcT14EqKgCChjY6XMr/B8Qeb5DUqgOlU/CoGfvM3boOACWQ/dU
AUQG5OD1GznO6kc/enTkh6LcoQNYMyWcstvWr4q7GJcR2JnOeqlBcx6msHwZ6wTNTM3uIkrpzxGu
bFtPuYycmaLrFPehAgTSZgzy6qvTKGcLv7A9G706OGB0tWxh1DSHoVjrS0c4014tq7fV7vJ1yJg5
aicIAVdyDRPjG+hTXfSEvMl6W1IY8kDp2kPECMe54YFJLl+rsnhm25fqSk1N9NiFPv8uQskPWL+f
BWB+tlYVY1gHv/7WZ57zHALR9YMAVEaVXsOlGU4uZRzeaIYb7A9YfeCFlHmfYr9EbMoPoIRjA+Ot
SeBAaAlT3rRGGX/tajgFYHHENm2db2Cm4TgtvGegmKK9wddNnex1Dk9ogkYvUwloDJz1WyETdbPa
rlXsNVaYp0Iq9wb0mAZtUkB69KDo6I0P8yJ2dMzE0PdZEXZ930Wxfz8hXmdviZognKHQO1vMEaof
4DYhObFRU94pgtxINYd9cJRS+GyZJlDtCTODFRFGYAY7yJoPEnuyLW4dl3Tviy9DENtfm7Q7r6YM
X82izUBtpe43BrT+Q4Opy5tIIaBuVy+AA2rl43wm0afucBjICopqf5nf7CqqQDSPw8MKIOosIXhe
6cyqAAkHt2vQXCRtqMKd5jiAzWStBcs50OG3JIVRlUEBv4mVn3/2Ze8h4Zz7u76eqr2fu3IrWwbW
6BWhvtqCmLjvXQha24VHcT2XDmwXO0HVHDWYMd3RsVcYrs3DctNEOVKhoi8OSTipA10WzBm4LrDB
gXUs/CKp8Vuo8s9Es/IzR9z4pUJv74GeXnKyCwQubH8i40264BxoP/OQ3BpgqS1Upk8pSPrlgmmC
gSZm/XlsIZK7yeypRAAQVqPT9aCW61mUm9lr5C7Qqb2H1NjfqXVWn+1oHb/5ctKnaGhjsOyFuvHS
rP/Uun5fsv9a2iJuF+zK2hgfkl2tT3Gv6ragfBimRzScnXhLnTTGuzWWbrBhOLjoPeRCVV7EkYfE
bYTMxacJoFnwJS2tfN0xneRkjUYvZiPSTtgsfYAtsMfY+Bpbn+wZmdMAPE44PlRrgxg8wEnrqmrm
/Dmp/ebQJ1HtYVg0Iz40NvauiIo02nheacE8wnjrs53MyR0NzuY0Azc77+v4YarJjYemG79CmgPA
mYWg5mDdX/QNKWnV6E6hLq/rR4He7QYdB+fIcKe8LNoBlHKtMJqDpLmV1loNG7+X/mESzXRXeX6P
Dc2a1JtC5+VeF2K8rJt13HhO0WCeNae3jnST5T4Ki769YRRHMypOZ7sL4CTSECNZqCUQriHaAF10
EKkj3cyNZl0ZdpP30P7UsxuXlm7OcCrirI43UF5Rv6tmDzPEAVG4apU4dLpAhDZyjqqZ1ClwTyoL
/M9OlNfjDvE9GZ76kr34FQBvsrNxYkovc61pP7OE+2LvROkE433UeIFaIZi6TPXtpYZRcRqHWNzP
naIWEJ11XIFrgvqELQQXSZ71rMkdisH5pSxg2STOGP6oURJ4sxukwjZ93ivga7V8HAC35M9CGCVk
6KPwvGFERMO6+rtgiKLvbSTTUzCiA7ARClxPl/fh01pM9j4PiM57eC7lYXCG9RWPbfz7FskUnPq4
DaV9bPnY8xWZsTsJHPZLNnv1PVAI/3yVsLGc2pMQewU8epHVqI+Xg9q0dkJ2gOzucS612PY0y7CS
7ZAg5ho/DWSRezXDbVkbUexTzjqS827Zz06v9jBMzizZ6F1L4c7sNo8PfWk7r743eydMNiUYCyJT
1YJUCpn0HvPUReysxVDezeuA1wtJ62sVW/pYOd6NO2cwsJr+Bsc4TM8UrkvScZYTqLGOVGpML0tK
2hnpYm9ivBZ0BxnP/r5bIHNhvF7Z0DPzbD8xft7HFcd4Mlvly0BOvwFGX5+sPHF31sRJ0iCBg8ht
pSDy2hacxgIZ4TYBq4Z1mHWjgDbfyyk7jcidXs0lwD0/bVwm05NVMebMsu9SBt5VkuRwRWWX4kdq
sXcHAv8IBmXB9RFqHVKofak0h860QH2x42s9p+W+aPLgVDLk2NO7JGACezsHXHgbgVDaDGBX2+0o
01cEpwsmzYuiOyi66Lq0OlyCa7vciyrBR7iK3ecUq9iNOw3Ix9d5Vj9Dan/uXBQ8ILwcPR/9DKBu
+puNG+sJtfsVPTu0HwWFJ9ofPujmuUlRLChdug9hGuyCtXqF+JvtNW9r4zTzFxlRRKTRDj+Eb3AI
vwyFNutttNs9stkluFnX3dMhdzYV8u8wf3BHLdEw2dSpHWzJmeGqWQ3WpqB4OPNSb+4uW4jjrJYh
PAr0j7dO7+WXOGeVt/QfbHs3evMY7bW09fWgyLfxI3V2nWn/zNEgYcTgsImK3HoC1WB/n2DCHApV
6BMKk+NusjrnrlAhHQHZv6lsVufI0BZAt8rwnL7WLssWeRbJAO8hB08zJ6z13Vpm6SHNu6/Ua6Ri
S5MvO28t6jOgMpouNmLlnzXElg39nisXOeQnUqnH3Oq6bdir8CIL3GnbzSuJY4vSybR2wwbQYL9r
9PgSi+4KZBVukIXz1AAg3Rba8w4ywEp68t3oc4YyyMbt+mbHoAJRwTHxH9cWiW9/LZ0LnOYvMfd6
VhKdYNiGD2BkfrhE0sO0kB01KVrkWes8u5mozlzdeN8GH/dDO+3dnbTqpzmM3B9Soip4SJsoUDTp
YRtbs4Sftwb1fbQoG3xKWoidklHyohHDQJ1a654GxTLdd8IgP6oogeZDA2ICFo9XGsl/LahxZv+I
okd8j4yNDykIy2C62DoJsXXDWgFRA/ZAYJf9udOQSq55OlPqJMg2cDtXSDXLG0BCJNYCOj5qGmUu
NoEDmGivI7Tf9iPg8mtjT3PG/+FXtM9/OKlz7xUtwSPKs/NY2uX54nO4Cnd6S0o5dscSWeM94EVv
E4Zod/vVfL4ios5WF09gyZptJRS4Ecf0Ag38dYmNy5sItNkTZHm58I8OKhnQth1CQjD3ejoV7XgK
dfeSRuv5zILfVjD8zsrUukpiZHnWyu/2yOucA5dSh8ktw31YBtW59Gn/dTFU24ZUf0tm6mwTEO59
qu/iAv3mGtH7MVn8PQpCd50ngcDVS3jW4KcC3EdlAEwXGohrbd1Mjvc5R1DoAvtJRg59gJBkBa8x
s2Ee5W0tTvDzrV3vj8MZErA2nQvVbuzS/yanJL4bLYS2EYzPt1m7vJSpoHOmFvcQYk21KZT7NfG1
eJgisJLBvCBsUIzt9N0fQv1A7HM2QYAYbWh36Nh3NKNsAeM8sbyrqo8s+ix57ux7uyxPAHivcEpA
2Hl1PWx28ike92EqACkVdlaed5yPIoZFWOYLZEu8bZ/9yHPrXWmt6xuId0ZNAn2G1xYk1Q1iJNap
4MDrUVAK51NUFv1lWFIioehbIAmYp+c9ELu9i7P2V/IstlYqcR0pRHTTTm5ytapsfLPy4EfaiwU8
CXi384429B38hQRbcogNWwlH61M0++Ot42Teet3DjAD3FdbtkS6ocWlQQPEgpgUHgYRoiH9ADqbX
yXFvzddFHnIJKsRjyn0t8t7XW5/D4MSw5nFJ/U9kCP5Dl6TtIe0WdWIfLPugHwTFVfQ0GR9ymTXO
Q4ok13bIMCkTQ/Jag8feFnUSbUXoOPmuoki3LiaHpOayamitdkpnF+QQaj4AhW63mD8G47nXEH82
gQLQdEyhkJomESILE70wcpo6EJuG4ob0bgIEvQ1xznjqAZ5fdF2ESHgGS9rejDY9vgWlvC2wP/GM
tl7sXk+A0R41H4BHQTeun8dSYeMtw4SmEQ1qdBwQQL9yRzlehqweoLNyUsepa/LLVYJO2XFgYRvc
jykZ0zKBP3IUunyA9smEiDLPdRmEL16fMccqx0KdJDDCTWchOkJThMHYJrUqvfUid37wR6loPoGE
C4Amgv+XjhU/Vc6QfvPx5IZTlGJhCzV/We6XEiGDrctGg5sw47AUDhTes8MRTQpayx2qPT8m0us9
I4I7ZJCKzToE9rksA7Xz5Tgdwcp1d3Oqnc9FQQa+Q6Szpl73xS3eltikYIoR3Q9+z3lKLGtvq9XS
ny0vH2Emd/Rl6jWOruD3q8+lNPbd9bQcHZiMMcXr4N6BuAvvYyuhfOlFEl9YVuZ8Xaq8PFdDpB8c
5x9xMGdkl2Lh1mcIJESIF0QD6MLcHwo25eRxYjGzLYaN28dANenwK84TIObVRSGcBShxMPm86brY
g0VNUUksh1tmxx50i0U6e5c21KO9hul5AQls21TZ8qPCi+A5EQOJGj7P2KPSYLrO4hjRm7TIu88j
UlOHyeLUZczLYcaS2lHs5Hs7HYqjtCZwYLRGL3psYc70ZMMwR1/+UooGWcIS1Mlli0L0J1U0aibK
YkKagbLeBr2XEE6UdSfLTl77yxRhwi3SPfpYIHsH24PkUrJKrH5SV1FVu1/o3locYpN8tMnvLvu2
m+CskP3Tzgzp0ljZPfKvGnoJZgQzs4xtKof6CimZN0sLsSc4JaDSfMWsehVXsWZrIOeR7fMOz/VM
RLcNAOuzafH1eWCF67QJkmrnKaqOkYwRvovqzxF2Ga+sPiwvcfz6yqBX7DUqcYciWl5T/Dy2Dmyq
bQKGGvxYUtMr65cnK3cTZsQCSxPcBiHpeUbGRg5b3S/Y7AAeoztbNjhPxfj3ZO4sdoGAFK/8llzW
XvvnvPKgLKtsPS39HKwcZMN4G4UtfWARQ7dofIP9m7FpBUHAYVPgNsNMd9XlJYA5pPMZ39BjFWQa
bXYQZYSYXbteM7rlz+0EaD6Etkk19IF1+RQPzhc3JVj7VrPPPXc1dkKvcQOoME4ZeExThvCaxVAe
+GB7cETpnSbUv7y0uF8jSamAOvo2Hm3MitP1xs1yd1MV3WcMiYrbIAWqYzknEit11KunXyzEIeB3
WF9cW9gHeyVDNvTno9Qc1KC/X+u46O6msbsbWwdWrd1GHO3CFIJZZd1Ebgz1znayM1ByzqWnrW8e
nN6rFjgPIMgZBSDGYDR6Yu+LmiDdpfV8qSXw8r76aV73/3E6f8HpCNvgwf77qfX/rl6H8heYzvu/
8R+UjhP/FxNhtozRdn3nzr5PrTn2/ovGL+A0x3dosQSMi38OrUOE+zkIbC/0ItT8hEHS/Bxa+/yK
MTi/dYFxQbv1/idDaxdk3b8gO+ZyhAPXSWBBwn2iW//ryDoK9VKj2eB9B1ssix9VvSauzS5wrE7t
lCqc5amo0lwdhsWtkLcfFt9/m5NKNpeMc5HSOkgLEYdN2UFapwkfJzYKXVFVZvOn3oYyuGx7TwYr
WPCEI8iiO6s7mO9uNS7MUDB8x8YGWJEMqU5tYu6nDHZUv69wgidke0ucOzDoRvCtR3egxkGCLS/8
GL76NFtQ+xpdmJY8lUVCvvGvF3n7jlz6X/+S//4gO0oHEkktk57zX8xVaWj++nRowIhWoQvxXQ6T
jkHGpWEGYrn3XLe8ilPEyaztLNBwQvqpz5dHL2QM22+dbOy5nwbLovnTny/JALl+eWFQRWPhhx54
3gDEJJCtX8SWw8IBPzD06TcBK7G8YqCYluerN3ZDfsxgRoF3AY6YiQI7FRkBdypmWZrMFRmd15Ze
ZtdtwhFE9jmKDIOd7dckBcy0VjOvYq+YGa1PWR8k1rwP1rILrte1ZJy0B8k4+B2SjMPIzOLPN/Wr
ZK0HKtmsQUCTtg+2g73w6z0lWYl1U1k1322oQDTUm9xq7+sqadfbP3/Rr0rL5otcAJzgQeAN8/B+
k5GtUCpagzn5Bs4I96C9rJLSg6pps8Oxzym8G6gSvpvRl/UrS22lSEN9X+Z+U/z485UAfPn3azRX
gvwTUd+PjIVf8AH3LNx0wfKsCL5ppoyw3Rng4LzXww4O3fMUTylGE3/+xt8eMthaIH7/wGFDnoJZ
WP9S6bZEaoVtFbpv1dj1Laf3gpkig6doTZbpL99lFuH/BQKa50zg8kTssuA5o8IPL5Syoipl7jvf
ZpEykPqOMAdaW2eJHFl3aduZRwzafoTC9T+9SdZQYP7DvJig+wGp66I12GMVP7whD8B8kK6QsdRJ
6NDydP/8VR9cIs1NxmCVwV4ink/wtj880KJtRcm0uv420EGuwxP9o+ZT5Shi1FaFJPDyZo7XxK4v
27xvAnvv66xcnwrkNiTKghUBMUFgCfHAu6LAv9Zj9oZo2mWp0z5aTuPkeXV/+vNF//ZifIbuMUB4
3g6y/x8DmkD83Zkhfr81C0hgd9NbcVn80CDt/C9tWwckZQkQEZX87WH9vvpi3gqyBEC2PUd8DFuJ
cVKQUL+/rr4lHAzBQpCGwzaMZIbZp3CpfRA1C7wyfF2yKp1bssser8RtbSHG8oiE7USek0Xzqr6m
tHLjg9sEznLh14s3RLu/PKXo4/bkAkNE7dkmzH+RFfzwbkFfy74e+/ZrFuUOW5EcWK23A60UFtW6
2Omij/FAOXBtYdDAbhoa1ImQMA7ow9O9hXy4vLEA6+IHDBKeDMefV5J3a4Et6I/3AOwlkujizyiS
fRnSOE4QHKzDkpWq6ezydppeBRzDjUtPBic1fLgJ0djh0P/YOVggRnd4TKr5eV1MCrGhg8fw0phH
uAR5e82Drjg4XkcFgvDXlM+3NH2L+nswYTouNi4dwfWW7R/7X5oc3MdTT2XBNUJDjBsktJpRfCGD
R4t9PwZztT6tyg31o+67QN8PBX8ybbKmIILgL0qR3e6cbJ746pq0uET615UWGz1hLMXNtOCwaFMu
WRM0/maYCoe/GeB+zl/B+Geog6Ov50zdKdoWHGZLRzdIbYceoOuyL9BN1Sh9TnR3NyuVGt+Gm7gM
rt0Y5fpntIB8fUo83eVXFUqly3ESw9xcABtZxvNxHmfWEoxeE/lynaOzDIMbUSvmfcqcmV2UOOw2
+FpqoGJhzEYn6OcNwB/JuFVUl+Kg2Nk0SXigPko5y8UwpyaIVdC7rHrfoXnGP3JwxHWxHSStnv98
Ric7CyhXnvg5/mdooNHZcLPV5xmMbk5b+zTLjOC44FcdXGOyZJ6qVyJQ4G78SCImfpomRfepqfrR
qhA+jc03upDpix+LRB8sAwQQdtwegd4slzZWnFouTqcsmgKx0/oeLB/g2APDArNcJDqy7CndxDGr
JnVAMKHTOtN4Mf1Z+K4HXA/LyD23YN0ubx0ebzzDdtYF3+8TGEXyEFUoZxS7FZ2hakKlrNGUiGgy
mtytELPL7xZKTXMTRSyD+apzsdVM963Vm/ceOpoosO9XhtAMZB1InxE8vs7jpzRyO1eji6Y9PqVd
oBuq3Vi4ET9ZqUJZa9M7reKSgLeYL5rGwlyLF2fYEm+BkLIFlwgL+RbSWBB4J8gRLpeH4G9k8jZo
EWV+PUA78b/ko8cP29hdQi6r8GLzjDtd8wTHeRp5nCslKZ+E0nHonQpF6y08MCIwS9Sk1vpRRg3/
2wmmMjSpYSQG16SOK1kGipzsc7z2VhM8jCHia9G5vdnSXmw+tMd3izfhD+SNDT0p4epHtDJgYSAu
F8phOenZHor6SleeIW50/YAH6Zb2x2hWNa1LRA5xFl+Ff2Jy6GNWV9iPcYaei95hxhKayJRVGf6y
gW0dfGAfUL1VuaSeDYJyRZUv1ahl3frLMrP8owHcGKM6puZLQ6IwtQx1fV+XPVNplEftLeq7bn7T
iixnqkCubt4wmp0LIEJAFwPA8HywjeXW3HfYEWznahis6aKEF8A1IunKu+m8CADoazNgM1Qh/l4s
afsQ113iNdctk+w5Qj0595jcE4gJN3vlpgWqq6kE6UPvibx91pvEASsHv7gY8SffRCVhNngDemN5
mQm2C/ccA+VfUXXpsznLGMIhhCrCazXHsNu3C9AfsxLptXXyUC6JWZf2OA+soQRj0jK9oMuz8rvO
0WOPRafvEiqHruEp7eqS99FsZtsSY3c9TAFKG4eCETVvqRGew1nQLvXEZ8WdbaLgyMNn5do50A19
sJWk78/EGbFNcFY9kPeLqLR1Pd/Fijm+YoWMKeFJos3J82OgSnTQPEX2Av3HgQWlu94FE8Pb7xb/
AjFVVnpUDSsXns3WyFd7AmKsPBAuOY70IkNO+TqhNThAAarMIQs0vmM5zgG6FzgGRz0Tic0SoTVx
M9sLapEbQpTvnWSnGm4pavu234AdNSmW6Vgtb3WERsHVzzqEqG8eztR2bhsfmaNGCGKmWTG51tlY
wIQEhQDOdtch/JbQpAEW8ZB0MzfP2K4i2utlwjMNGRi6c/rQ1lnIxi6g+7J4onw0T/Dnsq7zyfxu
8VqXhbvSDuHKg9Yy4X6wIg4tYbEq3b0b9igvbchEU1SxQyvFMo5mLKrvtLEzETKnQbS92A1xiWgD
AwuxBC8QRqr+wa5nxBKgvdB27nsIsucBbm8ltt96lG8Sp1vrokdSkoEqV+puMczNu5ecmItCX9i0
1Tekf9b+vjYDgdcJ8Sdk/xBKsjeMY1V7wdhpkgzR0QrwkZ73XG8YD9PkR/oaNdZkBnpYo2pw6VYc
q/skUsy5O95RT5Cfo24tOIV1j4klAGJtUvq1R5Z/44VL5cCv6K1FPceOGL2HAEK1l24LTCANfrdy
lgSqS8z9J6zTJFUAYjnJqm2ILOG67uK8Wu0eg411ai9Q/qZXHqjyarJtIQ8aDQR355OgrY8pzcaW
gy9QTCmxR4k2rqccsV2AXQK1Qo92iHdW6xjMeRg6PVSyKkVhyVW7rrWn9SKJG9s+iklk0PHlLBqg
HGigM+tJXN+6lWVbe5/GoWO8f7RluMhuH2OwMD9CawEtaA2qse6RYR/WJ9WwqsF3BEH/aQ01Ahqb
SgVhb2Qa/HQFcahDiTb+vFYYhecK792V/i/4VsSNjeJM2P8DSBZ1ETVIKgEdnHc005fue1z4Lsbq
I4J54caBtqPso0qazjeymbZfBcektsrgmrG2VZbAjCVpbfYdTR9Xge1qo3J02p3wwakF+8BVrpVe
9w43U9z+zL5t/BQCcT+Bwm6HzQQojmNJ1m4t/U+0b6X0dsgt94kmn7KxJjstOvTJxhJ7YsP082Jy
TQQeCjKo3p21OVZiAgmbu4tM+giVW7MdMi8wEa72bZNh5hbaG8mhWDCCB3foDnKKLtYutUhJ/awD
K3jlZ3XBKaMaP3WQzkYVS6Gr5LcmT8Er3lQOIah7rhZnibqKjyMyPsEXBKoaLkVIK0QFLLWwStwx
4/QJk/4wkNlHyLlI5+g5PlnwZJO74XaNSyyxrMAug6CXWMivcIbXg2/vtWiC1YWB5VSkRGhYucQU
xC1sbpS8BONqkEx1bwJiXTmc0ROCyKQmQDYVDwhSuDk58RCZudI+NdrUxzFcw3Z90J4xzdi2SQwp
nsKsTdhL2Ib0XP8QFyZOlh7i+NXWKVB/xUUa51fRv8Z9bPLVONFEG0eNffB1YmzUHgIH+enLtC00
xyKsC5NLNTI0KUsWK/OMVNsESvzAlGEp491UCT0i7iEa+gbMuWFK0Mu2e5/HTwxHYHnf/tPuCYba
nFI/TzBPtDzHsmXQqLYBWlxcvcCahwcpU6+I2+OSA/b6UY3IwU+EmcJcwThYgCJP/3kSa8cW2ozS
XclIwybjE1v8r8BolaJZkBwhITJLMUcKi5qlnhP/S9ULek/vr5EDU4gnyr9RPSLWO3PHbtEI3tE4
6JC5S5OWGiDoOhV2Ej/rEk/08pTJIK2nM490VD+uwPC5KwQrTPOp70edZ2fSRrJMcFCiyYqAkbOY
Qj4KOhZLTb9OzNt8svtQ7Zg3k6WkTmKyed1KXOlPzJUHHd0yQHXa/DJIQpvrAYRk9oHr9ja3qrEl
149YFpkt0kFQpOGFzQx/IdGeSdRERWmcd8IsMDcZUUc4dk5YkWen76drpjUmNltmzSSqW0w+yALx
eDf5pgrMekzQECSztnkCxY9kDRt+4M/N3yYr6dfbqUKhM9phuUgzdJtlYDJoqAZjapJ5V5qrfd8e
pWIW8liNU8tL7QcCX33pzq5OXzS0xLw/+dBnQnY1Ohos0xyYMvvMA5nLC68aB7+CehKpVru0GiLB
fE/BJySpndqFdztauEAgmg+UVz/aUuemWSFMah3rlpIvDeO8f9X9mBsyRMkMk+ACy9O99CahSlxq
fId1VtuOKQIL6VOx2QJmDNvIi0kvKTx5z2rx1+XCnYBGXeDXsMz6ODsYp7/qTKDIt03eM58htTW5
xoA8MXebz1BZlv3PihgZ45jEYE5Tm+oLtKnLTyk1C8bJlmXNb1AB4LLAE0QI2c1QR492OuvTwTpF
gXTHR4BC7mhtrUnw/K0sNkV3GDBipiUyQ51iDBX3JpFPZcv6SHBj4K2pmoYumhmRtSLd3MMRIUeJ
kd154qmbiLuKjpr3rAtlg1IO9QPLKfD5elp7OBrwsZKYHJwQc5lVtsfZiKV/EpHIKFVK8Odv71sP
hx2TWlVWbdDLS9dWQ7dTWg9mYTST6R/hAv6PXTqUuKm5sb15bvD9TldTcfuxpXiQkwjNFqdaTuVV
gHUIySv2s+kxAbY+3gVzuA5n0TiLCuSoQ03BwQaqPaUIVGBgDohztHxM7KmeWFV0jclEEQImim+n
96pxLnF0ZzpVaEGQIuEfg+1A58rBrifVpgp8LyyQVTYX3a5AycADd8GSy42KVipeT0cFC50iyWb1
T1nT8EpzMZpLH5uZk3A/Z2Oi1N6aQZVchZLmCH8R1MJ6i/aYCViK12gxFC8HtPlQd8iHlclABpnl
1W1B48b75T1yxNDIeIY1bnfcy5+7Rv+PnhEUM2geDHSMQ+uHnlE0txEwlWr6OifK1JkGsZyht+Et
GMVthrHnfv/ylR+7arSpIspTz7TzUE//2GddZNNEtgrUVz+YzPTmfWlUEXDGv93d718VishQu83A
iNHUh86qk6Vy1XQnvuZeYuITylmuJikkWBO7/vwk/+kG/rt/jJekGwrXxxvQDX6fSg22AGFfle7X
2a1HCpkxqx1Woq+8jG2Y9bXgLFyDlqAxNtiK0UTRVReB7VXgS67pQpjJRkzJa2LPe2T+OfvA7sGU
CFAmUUC+BIQ58dOfL/+3R4UuIYImmFQisisc2/z+X532uU9qlU6h/6oQzuM6OKBMWcjhSgn156/6
bc25NIZjRkFMgrBw/djvJo3KHTB58jXOIndcTsmCCNCTWEOzRYIkRWryLzf3cYSCeLgwHH/oKXTY
UQ349eb6bnCjlP79q/QyE6PUzGa7HXMi+z1i5ebMSmLyfZKJhZ+/Q4Cx+xuiXe2f/fnePz5mpqa+
D1bAjEkRNvi4IidQFxoxKPeFngSlI6hWulRRE5py/s/f9PEpOz56HAxicf4LmSB9bF7DOuoiVxTi
ZWzasLxSsjKleV5QqZ0QRzVZ45+/8FcVZIYmiJrQdmbIixkwSdOHFaQKFF2jaelf+oY5Ubbv3cSE
OYLiwntN+q6a8evI0yWLt2EJZOinuvZ/awdqTON/meCQamEdb7t+iGoQt+78+pqpErNKyLB5QU5t
SZs9s6y1xH+kyeLi+J62aCSuOPMCDzQjFJb3prjlK9PyqgMAF9nZ9P5w6sI3LR5a/wu7uMVymWph
hVvMkTCUUxthrYB/TjShGVoqonU4+eaw1MvYIjGYJTYbfwP/2/RfFU5Xy5uYUFUCBFzSotujf547
6ixntAzIpC0tk1sNGgrSsrV6J6SKGXJMFhUcvpzcBnc1c8QD6pJcVvjeoB9I7YmaZemYpAkv7X8y
PkeYZDkpaiMkYA/pxPOP0qKnM+noWZsmC4p75fmf3/9vCy70HCynfUjpDjj1j0t7pLLIAMcszy32
ceSsqVSmBIpXZTKAny3rP3+l2bf/Drkm1Mb/zGhwOI9+0+5gULaoboim5zgNTI9xzOOgvALa5ZTW
tT3AJErghcDKk4dZQEunCVvV5mr+fBkf79x1A88mcgYxt83g/cMh2gRdM/Eus+eypf15jjqgqj85
5eT0l86g/qIL9XGRuyRnoUunKIDTFHn+h0UOECnNMzkML7qTxfrkF6FZFkUhTWb15/tyPmxpPh1E
P7q/QcjkzXXtDzeWwgaqoKg4nxqUThHdon2pAG3TRqXSzfFqYy8w8K75R0jDhnU5+278RLHmYx5q
CCG0YCh5zPxeTkjd0UdY8RB4tPOUCiULCQJveMpmpq01W6YNEKmgZRPqKDBt4rJmOvJolOC4Oav0
OYvS1DKTIjgSJl5TEJRzdwZ8L1+Qx4JT6/3FZPjD8+YZxMQVm32K2fnvE1PfT1VcB0j3jnVhTuak
ZVQBCWxCXPTpz8/b/bCezTsleAUALgKORfejFg3oUHqqwkseIw/xQr5rRJvtGnEBk+qPhHpC0Pvs
vQKkw1OAc2e6pD9/6jXciZwCwebh+l5o+pnUgpJI59RDQkfBKovRWi8HtiqaDWgYltNxcUcKpj00
D8rjfCWo6cPPwR/TIjNEwszSYe+skb3yO93W5oWvPlY2X6x/puMQhswXa0EHFDifn5k3WQiyFixL
NYG/3akeDTMqo/cRGjuStVsw8+DcSxK6HPhtCDCa7V/O2+jX14fkBpbqju0AWPI5C337wxLuuAMd
2TJ5q7Qbfil6kHnocDv+KSgj6dHjz9QBgkR8scCWS3bSS5pT7ZTVk05zW0NgHbH5GFJ3E1sY+m6C
THWfEurX4baaBzS8s0g7JwjDdzWjtjfMbwb4p70FfZFZTnCj/aS9yOx8uOJEyozwQqbLnfV/2DuT
5caNdVu/yo07hwNAItEM7uCwJ0VSonrVBKGu0DeJHnj6+0G2z3aVz3HFnu+ZI8oSKQJEZq5/rW/V
sXiamCN3B5A+sVyU1JRZK1RD8viT1nA4SIewX9ZedWOxKiUbK9UgFI1VR2BgVGtm4ukjiFvrkKYm
U4K4bJDziqRnhNfA6cc1Ia/GAXPgop2UbqxEWTn3JuvzaxkSjaWb1Q6RMIK63mLOz+97R7SPkQBv
vnB1DSashm73krRe/ZFqZXVnW3XNtgisVwxdYsOYYKTfinnRAMLYi7QF8VYaTaDXNz3QOgJ7cfzU
UvWMau7TGdnAOb6fMLev2H5qNNpomrXUbf0C3Vp/M8em/mY4k/UQtrJdhoNNl4FTR+CEx+jqn79k
Pz6suSEYK/Mwk2wVLJONwk83RIH84yiSRR9cr+HGM33YP3Za0LhiV7r98M8v9uMX+vcXczDKzcs8
e7ifdyQ+JZqcyb38w9adDI/QoN8bwMXpls2SU2eJ2RQdFNmFESEG4H9+7b/d+V9/Jl4dRjY8xH+2
TbSSwojEqrIPRUy7XIi0TIZNJnDd/mKZ+PpN/1qGv/5KUFwYD+DXsSD/fIgcyHybHV4ZiOqwTtjz
sFwsCg480WoIU+c2p9vlNqoJUED/lLQdio6M6LaLpL0a0gbbF2Y9+7qCd3jINaLrrLdgKtAVm8cs
Y/NiNnlGw0tjWBe9i3PAwMI95sizl84czScv5py6MKjoKpdBElyLzOM+1pzMRr1JmMUZvYewVnnj
BxmWhlFCW1GsJfVXfWjEcuL6/WIv9JMJj49k3gawDeJzEazRP28JDM2pB8sdpw/6BvjwcdyGW1HE
6W6Yhtccj/CL0Lxh1ZoBQw9VaTY9iKPMV/98C8j5Zv7hyjizWXP2gxgYx6BV/rgjNhI/Y3wQOh8B
oO4EOY1s7QB0E1wAU5Jm1VnZsHOyhsx6pJUZ054i2wHh9U5daXc0kDiBdj0ZgbUjnYdwVvnetwyX
u1xWiXaKxtw5jmLc5iIT92igKS3HXDSM2pj+l1MzMHYhyOovndLDbm9y+N5gm/8+2nEEkauMtnRu
yV0E3eaaLBM0sMKvW3z4YQs30EwuVFWxQNiD0W8EtA5SD1UU3PepF8bANUDZwp/F0t81ASMAJ1Yx
gxDWxDtLau4xCkfryUDV9hcMHYgE/fOH+6MtiUvMZ2uhLjgsUvhkf6aAtkjCXHfH/1CRJc+aEvFj
GcF+ADia63CbOUv84hWNH42vXy/J3oAjDhg7LHg/Mx0N3UzBHZfxZ1zG1BxrArwalU/aFUIl2TSA
CDzpZVB9lIJ2cIJfzRHCrH7ROk9sfvHX//3Wmj3vhAzhHuHE/dkMWPV0qrlBnn8GAwMGzu2F/62o
JhoQ4ALIhQJLgsKRFbAZG4lWuIpDm4oP7LArdBLPWzLwpJy7KmznOWrSbpZ+kdBzraas3I7qnRJi
ONttGOwDKnSsBSkZE/LHaBD6CUo9a0luuMXSzSbY4xofyyZOGu0EeRO+PFKGdrRpkL4Zh57ljHxw
CWGd1XtJeiQ5Zox52VGKDARfqtIcSwnR5nXH0PNRwrtesxep7xoTgEeYpaRQKwe7DHci46Kljep3
I7yI7gYHRx2hZzoyCHukabCs8T6c+pLmk0URkTdc8vkVxh5zSl9tdTswnwg3R89tDmHGisxo5ujQ
yvGrO+XvV8finIDjGsMc1+fnR7IwmYQmQ598QhvVnYXXe/EbLo+RqSGXjDOV8zHVMx8i197GLqav
hqIfuhP++Sb5n25Yd7Ygs/TRLoo28OPzB6dUndWTk35SXU114tcFsac2TI8RDe5kCzrvnhBmuwEh
5q9LgIcvoVt1JffJZNz/4s38D19YIm1oyzw68Fr+7NidsrbvCgCIn4Gj23fKNupbqmdoO0XYvWJd
bM/wg5pDaeXZnnpa49RQoIvEnjbDTeSELobkvO8IhrbiO855JReuipK7X7zLv20ZHBu/q+Qrjmea
Q+VPH1lHUVPmKav9RPVWwQM7C2hbKIlQN2rSuabdJcyU6smGDFbJ4ns46Q6gMmAY/VY4Rf0ovTQ4
6jRiPhDybZmQsApsqrhK+biD2FmSM9f+uN/+k7O4H8vP//d/Xz+yKF9FNYeU9+avsD+2kJ74ywVe
vTav/+fzCyx4fs34SUjmNJtlP0Qt/vihPwmB1m8Wcgm7RIGAzB6Kfdx/EwIFrFMbV+fXEYbT/n+H
LYQz/wtWZRuDKlvcP4IWQvzG3SOla/Mi88+5/07QAmXyh/0DG0gkbdab2bxvGogOP92MVZe4hLAM
dZiB32zd0w0lo4Cissa9yDAPi70kgYT9q8YWuE4qu9XIQsj4g1YQEy/AoFEpTnN4RmPhVms1Ud23
TBauqBqO4hsAYdW3ropoAgfIcAgNCi4A1ZmU4ybVSulRlB2oT8C0gv+IUVKcH2MsifBRw7I4IbSV
05Y2s23QA84LJlwPm6zrKya10SjcnatTlVs1arSfu554O4MX6dDuF4XHGBOetRY2BKMlvjI3egU3
ET63WLHZ/1QFDNGybil+aqQeInkgG5GAa7HbhcMig+0l+jPkKiplNq6CgYH3q+bPBYZfOexAxtjy
dxyOoKivWWkwPR5yidjCVg8QoSkBKziZf4Yq5NNf5VPdxpEPt1LbqyXNBnq/ajsG0BgmfUN/7/u0
7qd1Ekay1xml1XIip8GoP4GQ90U6tr+wx/kXAnn4nYccupOyjJWMqflcJtBX8hLrAIFZHhZ4Koop
/sBDP9YyYUIYjHLFQDiyMDdaXbA1k8GvzuwLtb3eU+1E7wxmQk8TC+bFVMTNhXIh85ptIEvzDjME
aANREy/D6dBfsArJje2V4ys+z2RNy8WMOxgJTs5Mk26mm1RE8CgVtbJ9UTTtNvnCoGA/gIjCFHHv
EkBzGKZtspmZIuwwuOaQBVwpTIeVbQVQmho5tz4Exa6ePP9SzfQVsjTk0GjndReEQctrqkgfsOAE
FxGo+qYPO+fCGah7ATg7rKA4+IeqDIcL90OxGbsiekxhKFA0XIxPxFA0xnUtxaiA9vxVb0TO2aOD
9jEsB7EbQlu71gYfhAymRm/TOZU4+nhGtxpNrtPKcKhlfyyVC5VnhtCw1uR39TgkUNj8MBiWEi8l
LoCscoZlMU7TPq9MUIBeU2dr0DLNvicit2WaFDwSEhVX3uRAwTFK2d8zwgHeCwvTh32SVOl3A6de
Sk57YocbsLqvMRVMqCmmvKmiiTqfXt4Tkl/VcWuJhSUG50gkG98h7gTa2nw8C9dtEJhXxjAUO4Io
7aKJR641DMjqEqZ2/sjYPt8yXS3fejN8Mma0T5O67oErna3HkhTAWJfuaRrT4eKzyB9ya6hg9Ijp
uRUTXbcYPMz3uKj0K23KHSqdAWYceup7N1Zcfs4NnDtD6rBGMT1yBZ34DtN/+4xVNX0a8UE+ib6J
5JKRRvKktBzbCTy5na017KlmrJHnADhiu3XVFzFWghl8hNwNAsnL5aEfag8n9JiALedntWuIJayY
ck5kE8qIbrBxDodBK4dqWdDtyl0cYE+T7kADQ6PVK0sDvlKgdi4x9YTz58KugFroZaDpy1LW/aHQ
vXwlKIl/tKiDum606iGaqruYI+rHIAuwArqHc3che+HIpclu/R5CsnWV6aNPybmFZhTXNI9GwZ7I
knOas9x8NVpgUjNWSlZ68W63OppqPxU3Akzgm/oCUBkwixd4XssrEtjWQxBacmnD9rMWfaYYcExe
cCLa0L40UgNswgbVTzKaKrCATst4qA7Q/sCe4H3/THtgIXWnjsAw6Fax+2FFobR4hg0Q7fBsm+5i
6PsRJhx1vhhW+3rRNCZn+sQKOe/QmbupilnbgahRXCinAL1QNgZGc6b1566OOIel/iyqhVkfDzsz
bIbbordqd5kEvbjD/+2+oWBp+HbgalKxyzFh7dPBjkfOd49Fl8vXlmqrK89GvgJKBqmT2Dyc68Bg
+LCgR6xemL2ln9hZGfejodVnhx4eel9b0eNKgdFBg0a4LzK3i3CeG+6RXEdxrqM64RaVxbIBUKZY
826N3p6J1n695JdSyxv79V4mtNs2yhqOWmPiu3ZL992i7PZ7oVkfUalMqolxOyzpgoOu7cVYnmMq
PthtnfohdE+eSJJjqENiWcTTe6iTEcTzUiywQTwUenU3qElfukZFWZ2PSMN0MtxEBlwMWpO9izIo
9dJsk843q+7rXaCF55TYzYY9nr+q8sp4IsRjbWN0jQ3f9/d4yt1bZQKiDlVa3OM0mRFEVXno4wRI
TuXL9CSRw5ayzrtTkevBTuvnrL7NIGzLkLi4cOdmABO9/iYai+pDDbVG8Kw0UrY9lvsY2L514B0i
L+MFXRaUBJeLNJHZDf2EcoNTs9hjijSXjGKGFe1N0VGrAmdh53mxbcg3rKx2aF7MqgpXNKxwBoOu
19TGW6zKZDl9QfdoecO/OeP4LFeBCqqLZDVkobkcxVB/N0SXrFtjbO9iJlMc3/pqXQQueqlLK7io
NP8u6oz6jPwGFsETincRwTpihGGs4y+8oGVmLgO3UNv37VU1gwhl3r/hbk+/0UFCGRtcyI9s5hiO
E0RDHnvfQjf9rJKo3guN5Z7td7JSkv/Cl+styJrauy6ClqjHdKwS20BwZqgOkEGL372YiqAmDbVt
w3hxYaHKQ85JxcGs42gDDF7tWzYk6xb7xQ6ma71xBnZeTBuAvphhd4UrDgBkOpR4a2YqpD5O1JLP
pEjh1Pl7I0GN8N7vozYwlu0Y2ru+E2oZSXzOfbnLZ+qkXnrmBhX4XenlpW2hPBCliQEyTVse0dpi
FNqzEXHiICETbaJkwgxLZmKd6AV1J9XF0Ws0cbWdeg7hOjOElR7mt67W0EIOtn0DTt+d+SvgSyKg
CVYY0q+ZzqzN9CQyTbv16qHfpkx4dnjd4biI7KIl+c1YReGmoSQc7rJGm1s6XrwZ2ZlESbqtm5Ip
ArixlRVQmSfxw2/zTkw8hB1xrTWQOnm2O/dAOqPdFPvF0pPGpyLcsqagHUgohkuKZUvJQpaAEM1F
e+mRzd6jDEGd3Hy+KLBa2UOXX2ytc1mMYQZ0sjVoJSvb/ZBV3i7OAw2xcnIPWTNe0kh+I1Lxu2b8
n7PUL85SmE5mz8D/HlrffhZVEP1wlPrjZ/44Srn6b2DRIZE5DHw4Lc3ztT+OUq78zSaAjh43l7jg
CuKf/oSt/+X4pJNTR89jVsQXmqzrv3N6cils+av6SgzPIWLJL9Ntw8LsaPNCf/XUgA7NqWx10x3u
k5eedDnnJNC9KDLP+F/uwNftcr1Vz25mPI99b2xaZ9zUQ3doRsddT1C19qLPxn2detMczJZ7StfT
bTXqkLA1lS+bzqu+j35nr4rQYf7j1vpRC9LyG/M3/VZDG98yTWpXAmP8klNOtMFhO6zbwLmFGuje
AMVZJfAir5hf9/w2jLwCG+S61kxzhUmyol++mi2B11g4mFI1FvDnFFBD7UwXSKFyVTi9Aziob+/N
yIPaNQ7+HnhoubA049JPQvK9DZ5sC+K1yTlm62RpeGr0yLiKBe9J12nJNey6WkvNVjdonox80sd2
QO0QA7tYhWaYOd1r0TIlIIbfryqrHN6i3AuuoFBPCwHUiPGZIohXw+vDNupse6A4lBOmwzoV4gOv
vGCRZBdPky/AeKd9NclqLElpHGIvyTZZpPoVqyVWSPqH2UuCOQyd/DZT9ab5ksy0a3+EptZqatiV
gs3k4BTGrVea6XPTyfJJdvEm8/rLZDTZbSJdtOfUreDAuqwNSzjip6oUQb823W7uB1TJM/XC0SUR
obUXNcNvep8HCjGCrrpTgkULWL+8spIRkIqWSbwUZCqP5Cajc1Wk/TNnyPrDk7b3OGQCDys7RQiK
QLaPYedl65rd8V61RC2dnilynooEldPs5K4RbvniRDF+29jp0sc8yeWVTENvi7RsnKkaQyycjLRI
yImVMJ+UCecnog1zFXlmi3+nZepcm2V+qADFQu0pdJovtallL4ONiVNsmvRQFIssOutNUTBWFcSr
KIX85pidxrzHx5gjzch/jAGG3tHGjVUyi4o7IymMs7AHakP62DsGwxB/KzHqRQuCCVEwL0PGJouR
iJt5ywcVJjq3Da2fIKmtYc0ejuvX4zsRTc++UBLsApnqWq9KF+njGDFmrFpH7DUhWlA0aD27YA5W
VmE3EGTAWNux+Zm967px39EZfBgafiXcZ4RLfNDjjUljwKOEG5bsZN3xx6sxGG+dFOY8xaA63ZJ2
W1yRxQc3Jyh3XZduyi80miFUa+qSclj7EGiGJitfAONE2wi7gbMYkCZWMNxre+GETfoIqic6U41Z
f0Q0KG2NVpSfpOOGG79lTPL1zmI/Lt0NSyO/PmVCcUH8YKcpK4mZ2w/dizVwD1pakwHHCC3Eh7y9
r2ML5K9NXxw2YP7wRmSAmlrZPDjQSr+nqR+be9n9bmwqxrVOinFLQ1z87etOi2XDq03g1EnZoqRc
RQx+yWJ5xTVyN/M2GFAtpHmVPoLYNJ96cORMgzPLuVQysPZF4g+3xoAjqKrYEppBSyax7LiobWvl
Bw2IBykOv8fNADP1o3HC6JyzWQbMZY9XyjfM27n/9rZXc8KQO5IjnCf9b55Z0XMvsxCmvj/wizqX
V3RGhuZpEGp3xOC67WTHxZ0KlLct0sZDk+FqIRkUd9jROH/UiZ8TiWw6d1nEfHIjKIujoWrLX9g0
QXYrimWZpM82YAfmxGKiqWURue6LS7vP0lT0IcNzPtd5eO7UeEM04r5T1Pl1sviWRy6EGxucsXsy
m/Za74ObcD4LpkQAiad8l713hbmMMYnmLXPTuR1qsRFduG3s6TGoansl9cE92ogdi9JHZas19uAj
kw8qHm4b1rGW9EvRbslH27cWnYo1tr+z3fEMTww3WNlOKeCZ5RZnETjnA6fngcwYZeIid/wbA2nv
2hhoc3eLYIwXsNHCrV0k8cL1OovjfQIPu1TVrutApTVuosKVVhkfOTpGp8xP0MDFlQqj8iqeZie+
CaRQmPK9Mppd7soLy2S6TDhJXpuQ7V+0wHwm5PaOTQ6gV15nGySfZpGNFEhrmWBOxF4Ry3ZldsvS
tou7ljoplJ94+sg6zs5TyBxyCms2y/QpxG158JxkK4g7E6KZuMCRTUetouUh7sfkmNjGgz2yFXU8
tU+GMdsD8xa7nofwSnfbcj3ktIsDXjiUwUTeEDCe0qEYDniJjmOiO4eKG38b0w6wkp3/ohuZWjJt
Iso5fhdjeVtGrvMZmU60s3qlf3NsDZNTktw3Rh2/jugoa77r9SISyl3qLRAuv/aauVXNIsgxTTwP
RJfugngSBqFpVMaJSLrn36ms/gjHxl/rBMPPQ1j15VoEHCywXZgzWn2q2vXUmfmxMGyQ+31y4baq
1rrtG0A9R2vNeT4vkAgpf6TNqFxZtQbr1DDLz5rZ6pooJGhS+DeiLF/blHJURXUyhqHuWcf3v9QL
VnvPVHKLvvcOiOdFhWKrj8p/6I1ypLQaZqUUfYI5UmqnypIPPnWTS5uvIdpSHjwTGAHBWAtOKrp7
7GELr9kkuB9YY7tbWArGQzKqeQ+BdWJJsms89FgGKRw2Ic5CAI0fYoeeJgud8LNGFPpsqio9eBVQ
wzxALik6rduwpvebpOZnA/C6nIb0s+PHxQVaCipfqNhZCU0uYCO457Ir+285cbVv7PzF2W4ozZDs
sCgTRbVL+RbxJG+i1lmGuUSKTTLXm2d+wbEbmsQ41KZvDAtmU/bZ9FS7cQOFmNK4wWNjD9q1TQhj
mQhzoCyBRh08rzQ8dFiujo6sqMpApQCYptBMF9bUswwObXEuXMM5wOLw176S2dqvlf/oqai57dG9
4jWpPoaTDdCecxO4cs9OIQHhWqh1NKT+Eqm1sNZhNXzPMxMoEaa4h76K+l0ZOuqJmBw5Qp6Fq4DW
+mXv9DXWfshDujORNWMXlnWddtALHmClYapd4TNsKsEmL2MafTdQF2nhUKnajlb65tQoq3Xl95Rz
a/qp8vNqk4qiIltE53vbJz74weo0FMR3NG0bmIG9TN3pJa6qogTDzogX0kK1nAx00Aj30iaz9GZZ
VIm1Ja18GhjYb6sC/QcFSmxkWnc30wxyTig2ZeXq3OuxV+mdiut+RypeexGNd8ZPU3/2DjRpZY/N
xiOdtWlT5CBsgsj/VTQXwkx8xXHnLLCC3bKCFtekWOhumLUhulIlIuuwHfoBipqY7kZbOOchMg3C
Hm68HXNja/dRDcEUcaErgk/MDVvRsORRnJSC7Y3b9UCs8zBLDcsWIY8uJf8YBeqWwli5csDP7QlP
0g8du4ToVjEpNoMo5XTrJTxdjSunBYLUreNy9i9vE+QxRGs7BhRntnWPUlv3yPJY0LSAJSFQOmMA
D55HBoUwHYc9ze/2dJRsVQDdBlki1yPMYDI/pQkvHYckxQys27ivMpuI/qIOOsI7YeIi5y9sGmrM
3SygD5l10RAqN1Rut8vAavs735mmtTFO9TmIAQ/GnbROjZye1SRAO5b2LQW2EDOnprkNvdyENynj
a+WU8g2kMjQNM5/ejNpoTn3maKhZ3WdF7/O6JxN2cruO/KXrWAcLYZGnX1jfeH1qHnsSDrcBW5U1
hjOxGjUQlS6lSypr49eeCr1lpFVo2TgWDxmQUciIRKYSVTMh6Khy8aFYslSW6XZorGiru9494aJh
IRPrahJstNM0/nDMvlswC63OtoEzBmo43RH1CrKGdxgD5lHr2Jg3/cFYNW+61TcfmNbjY9/nNfv4
GkcMNOl9FXt3etfC71TsZbRV0jUJdTrgQ9gkWOPRiiqQihDKntJKT091mL1zACUeVJiqBXbaTPJq
zP2CqpHwnaI8Vn1NZR9OZ8/PLAJEG/xD3aYiyvfC9sVe4zcabhsE4CV7oFsBVuxaxEAVIHuiIukW
zdrOOPFNw2HwaLdoWngr8+OUdvTRAEJFussVGjQ+z/AtVzUcYkreMYYZIUuB7lUOMlxE59QCl437
4QY6D44ukMYtipKLecEpX9Br8reJXiuKoXwxo+BxudEZxazoPmfTv5bG5NJ30BSbmgfj2jWmfTT6
Oeo1h6wioigxCtr+xcB2v7KVIxDG85Boaxz3EIl58WtivMN1XLhYJvPIa+4Jr1SBv24KlVM8PjPv
m2lcEtMDqbgSNRRQQh7d97DOsp0jmmhXKdSuQcs/k2GKcI34DsfH+phUqEBlULm3xNO7myBsylsR
e9MqoaR0McWWtpDIS2tIH/CWPdc/8MYeOPghznvMibQ4c/epPRe+fEkZ/1F9fqX6eP/cr/dfzKiK
/EfR5+tH/kQVzl27li4F20jsdpZkHP/n+NywfsP8CFmLEdDclGf+S/OZx+f8FMSGrw69v47QYRWa
tH7w62bslPFvTdCxef6oAenknHhfc72fbvD2fnZhZsqp64FhydGISogWGNx7UtSAEySNeFdF2blm
hiHRaSbGoGbGnPmpwctp4Mcus/rezKyGae8cbjM5Q8ZV2cdLp8tV6d5RNwPMiXYg4PZGuyx7ijY2
lugB0+e5N1IS1/cEDHE8m1m3r1qiD2xEp4b5YnnK0zHOVzwueVIxychpMWUIhiWr0/cwjcfTaPn+
PVCmEkum/azN/Zx90TnBUucAwVO+PMZzgjzDD8yjWybmPWIxs/4obBEAGEmhOWDl8dY9dv1+lVYT
5xc7tYfbKenkq16anOBwEHenSA/JwDIOwt+HhX0+gwuwzFuq63mCd1XqrqRXRHs7C9Q8hcUIsKxH
Pdoqje068RgKUJuvLlRtThCHc0FqOVelxlNFa6rz1aCaWzGI62wuVjWlD9p9Llvtv3pX8f42q7Cu
WWGDcqSZFdDLRMaHutZYKopb5wpXfyoQTapAwSklNDlgzq8kf6j1Vf5KXFode2kgU5t2tbaMpFvb
QUlhbG1Uxx7qGoqd5fTszkn2UhuDlmdDRHn04nE44mz0anrNgAVtwpp1gkeVYdFrRrnahb6Otdlo
ecaWgw2fXUh0sQ7a/iKqY+ZLVLd2DulyqypWHFxQ6ewu26nCB9MddK2L+NL3tCRTYpUFJvOi0Wx0
PuighLc7Rxa/OwzlXidpBJtE8m3cJH7EMSK3xteM0mhzw4ZbbttiKO+MnHZbqBLpM2Ase+HrHTVM
JWCjXdqFgb4yK+eaAtgKXyt2LpoPHUaA7Gm4aYzB6OimSyk1oSJpTV7cux6kKrd0vgGnUFZAVSPM
4gWldQnMD8EoCY0//dBjrdhTW2Tum8zJVuSP/G98Gyq8+RAN3iC/QYMe66ZLtkGjzHs/jdp9zxlh
Y6aYkhde7td3rtW9s8/TVt1I2MqHQ8IoKR2jPW49QY9cACZqGdiuccxsTPUJw98X1xbmFt6W7S8k
bjS8FJ0ZoH2BO+TwrO4lGJqzIhPxljaZv2pVMD4yTc12/uTzFdTYScULeltA5ZRafT0WQ35WkiVu
0VB3M5N9I0jodTKH6P3iwQ5oguk1L9/nwJ6fGpVmcMQbP71NLHqOYOOU267JwC+43IeOb7ULaSU6
NhzVLkeAIt6myC0T670Ei0E3oktZm2zK6yrzvQ1w7fQzN5Jxr7y6oOpJIacOo8ceqnmPIRYxve6p
rHUjQFEp7szCMl/JPT8xM5Vg9APMyl5n4mtYKRymwVzfq8KytW/6WvMDXjaRdjv+Z1X8wx32i1UR
tKjOavW/z0JOUY2iWUdUyvzgR/v95/6ch7i/GTquS9zCvwN5+ZV/rI2e8RsZRylwgfxrUfxhEGI4
HrXbHpjI2Uj2b62Cs0vsXy505iC4x8BqQsSFKvb3xHerN24INz/YqyGfTvAsOD5BSYrmbB4tS3oQ
Vu9D26n30qj8XzjxCU797dXnXAIrpE3DN2s+H8JfpzARR0Mm93WyzxhOnpwgoWLZrPE6TBlGBson
9F2jePotiE3i+zDUXG3TQas+FlYxPmDRQvIugpovf5HYVLl4BsPwZeKbdFNHVsJ+W2NPXCYV1X5M
cVvAQJEztuu8nhnvbHJPQIf0He+Sye0YWkNy7oAffTox8We6hnjkVqHwahBuwr5V2uiwE/aHrdv3
w83k8H5LwcnY6Sz/wNOfz83G4444ZUnsO31evgovnzZsaZJVjsduP7Y06xFVsrS83KV4fdrqzvCn
ll5uUkXGYtS4Sh9dIAJ709O9Yz5SPBhE66wNBioek1CTL6HujaghGIeb8IrWMTgws6Wk7G+UiTVr
4QTQO854wkJ3UySjEYD/0e2NniaZgvAdZDorT901OpVXpHH2hjX/nwEIQOd5oA4q39qK3tNAA1QL
DT+smJMYlMutDOLfgv4FhDv09kVm+7oDJjKn9G8ag+vOoZGw0KeUTb0D/WxhBMp9nvARaMDL+mGN
sudsW3tCdAJXSB6lesdt1Z0dN6YQJNEDsUttYVymCKpR7/vdc5VePNdLt1mV6Sejptbd9TZlBeJh
2aW2usJctlGWKm9UmJjcMKWjLxp6gKkMxXrW2ePwkJQyedbDkeayNA+XQrZ4SaJEfs41PLduzeFT
eYNaMaH2NmFuRPvG9cRLzOOfWVPI8c+p8n3k5SiDfrozDSO9DdM4uaA7If9A/nLoT1JbDV8KjTr5
fvDGeyevumqhQUJ8w8fh32ZJ6KAmioiGFDtb62w0rxw9rdd1aVExN0XpQ9FRfKU0I9zCBPHe7SBR
KZSPKr5hNqNeg47sFG6CUT97LJTQemJD4wRk81OjnuuXqi6BVCrK2ISZ3sdaab6gS5fBjNl/j0zb
gKYzu4N6YW18GpP2QQI93lZDtq9E/zmjEl8nbHBrryzQMHkmNK+Aq7BiAIKhAc1aJGV/1VmhvE4T
BCLRcdaExOVT4BdYyb4geU4XpGO8DHDczojavc9gsdnDz03pbxm9ZYtp4r5uC2JAaGO7hGjKVR+O
dKgCVqNIuZSXsgyNc9uV8TPR8PiFK8o+c2jFFbbIdNfmeXlOJit9Lxm7+bOK5xyiSkw3SjbdEasm
CL2IypkFOoNzCwM5owBTEzxWxBCd3LESF2/Curbo+UrsUtAK2mIevh5yOxDXrdvWx64S0dNQ67AA
WXf1E7bE6AQpU923CaoLTZLlgaFdvtaGyHspcEk8Vp3dXMHC9LT10Drxgd6IydwYWZjdSN3z9yWY
km0zUbOrc27dVKqT32VXqS0e4vFpiGmJDTxtjxBMgzCNmqle5CR6Q4BuHoWsRh7sTa+8GqUO/ccT
izKx2g9EBJMq4Dzd6Qzk6CfGg2EYzIWYZrHBCrH1TIOt3phLtFc6fblEUccIPcDqL3Eh1RmNacRQ
24oLwObxueXw/87+pLvwgfjXQ1G25CBHqnqtPlvxPSEBlA3xrk8tyiys2IbL2hbJQxlV6ZbLzrdF
69UGxb/8EBo2pcnNBmzGvi4oH6JaAD2nuXEMmMRgaUemnCZhEBe9+/tkhp62QB1vuZVHcummcV/C
njuFfnZTdiiJZmEGzxwN0+0kPbg0YkQv18dIPyGa6SevSbyzVmTmBfoP1eTYML0jO3saHtPhOkXO
oeWLL+qB0jRrNVleli0pJR72UWIEh7LguBW41AfxYeQn0IULTqA8avI0v9JsGR9M/Lp3NshC/FKN
5i9r9Mz3MO6Hij/apYikZb+/q8davSW2g+IYJwhnCRY5VZjfYshT+5Qaqq2youie1sca9lHjnKkb
GhYaZCG8cmOiHv4/e2fSHDeWXtG/4vAeFcDD9LDwBplI5shJlEhqgyBFEfP4MP96H7DUtqS2q6L3
vemuKolDZgIP33DvuQpUzfVkk9Y+qFp7IbFS54lGNG2eVAxMuXvcc4nO721NZZmR5jX2vizt8ahF
xXAVEk53PXQtgqVclDuZNM2X0bbVLRmYIUTDYbkykym+48lWPzteX71KXBTvc7IG1zidYojpRW8j
E0kW/YtH3m+9GyvZY1ZVTEoN5sFatY4xPU1pB2lklMu6yoeXupBGvhkELvKNsyJ4kF83X0J62YAa
vjpIu1jLaSfN3kvLaHbKG5pH/EmOE1hVVLyaUSSvymYKL70RytMATRUV1dIeYk/ukVWI3J8Fzzc/
J0bpusPvf5PKQl0yYyZzDxrwsam07hJ27LBTK7Ovx9wdfG0o+0cs5A4bOW9QLDEIZveVOfZ3YLzk
eYFe9l03+7wneBwiOykfTXTKx057iGPbeW6SiqOHHC7sTUqDWcyhTbwOA0RmXcgob9ysNK8THVNy
X7LQzrDwGH4a2vLK7aqPa2JMzI3wtIaExJjCHhHAS0Yswk5PzBerV9VFi0r7k4zWEaE+mecRfTjH
4Cxu51VvGIXlZf0Aj01uGggg+s0wl8mWhA9x6WWXHiJRwZci9Pm2ioT52ZXdEEyulu+aBk2aRqwc
8U6OGZCoxPgXVRzIRLNm3q0T1szi91sXA6ViC14vWww43ieD2cGOyaPY6XFrPDB3iK1NodXWbRY2
5DCAqPDu8qhExxHzkB118wwCeeRjZ11wwcx8gRM1Hb1OyMAgD+573ANf8OEbe3uc5OTNaikczVyR
tBvO6pbs1Po2g1e4T2Mh9pNpl1A9Em0zjou3XIVG6z5SC4gHWqgU3Yltuu+y0PrnopL2jnSzJ7vJ
3UBLvTsT4BQMiUpf805GqfaCI4/xfJfGxxFmJXYqoZINCiMwlyh0lm8JSG4EE0k4HkVPilHF420m
R4dL01LIGTL7FiBftjMSHtY9uCtsfLJ1063ZLNQfE4fwtRn1zRaK5JdSb4ubgZk9cI9Ft6543pW7
wcJenXfavNMSw92LKpc3ruFOPBXc5JkCzSFvMSXBsZnDPUGJ4SaKM499qNEa2QGiJVxOdi63wAew
s7fWhB3d1SvK10HNAbFu472DQJMgOXM8OPpc3nQZs1U/N52Wi8Nz3yh848CCZYebk2MFqyTF9ESl
yt5K6OOnQc+jz3pW5Z8tQQ1oRYqYNztsmps667zTkjlUK5EdHnS3Zjob6anJfoN43cGXQ3hI+qFd
mGWY6REIoIfEhI4fv2rkVfuiEZH6bhapCwLVzzokvTidG3kOBxLVpk62R9QtDYI+ZV4sq52vvaY1
ttC3o00XNdMxLnFWRBT+T4sjT6nlPEROgv1CID5IbINXaR0LYpO+JtBP/HbOISyHjkdJVjhPBuvX
A9uJ1TwYm9uGvX8AjPCljefXxNXuAAwwy4qRZ+WLEfuqSfRN1ZXjlW7ifs9spvS0CKckNwqyQ6LP
fCzmrp+ltYHy+6HaCmEvJDeDlZgXZVvPxqpImAam3Rha822WyRbOZs4bU4yenxckrRHBQvKmi6KC
3ae5KxkAxVE5H2Uy3OCHFV8gaeAEBvxV4L9ng0fiCwxaeKisO1m2LNWMd5vwIFeyKGEDaT7Pmpiu
MAvAtfckyEjbvZmcOGM7X2aXksvvRVNuIFw7fCgwvexrYrWOtlD6Betksh0i8qUW2fKYU3FySGpX
7pjXIEhDQAZ4EwdMTdjsNbQdnuxZOt/YOi8ulXmQLAw8nIaF5MapXeX/1DHf/tmA/pyU8s9tKdYp
01yFgti16Q9/bQzj0CLwq5fJgUEmbZ02uThCFskpzcrM+WTpJR0ptVTJI1vPtn/9w1ft3689sSMw
IQrdBFTkGN5vP3xJSG+aSYg9GFPVflsAU5zxxMc3MvOy+7/+UYgof/9RWLfoadbu958pOUmTpM4U
F/yoWjSIkAyJ57wEXP39r3+OsXbSv70mHGnkNiHLRJXzO9grq+bZajM3OvR1OO8wcloHp5+YW5dJ
d9u0WeadSfTWV9pq8VK7LIg5VaL4RgvjtbkOY367j1/p31uVv5kfoZjgav//x0fgnMvv37rkW9/9
PD7688t+TI/Ic1p3I4RKYOBlJbJ+3D+mR675B7gvV9fZnjDWQeP6P0MkS/yhw/YTDJyxDrL24Pf4
YU609D/oox3CY+w/NzLGvyKvxWz/2+Um4Zp5UBYsFBKAXX5nLNhiRn0LbHhflZFBjEOSBzGMTYh7
3dPsZK8SVgRHy9IFZT+RTZs6dArTnB0pK2tqbPkgB5kdwVlnl6nPz4O0FE9ttB3QyX1kfZzyKXPh
mXBcUsMZsVhmoW+bCFhNLBtmBJ6GDcTp4Zl54q6GzY8QnjVnakkCgxsXPxbaVl8DCrpJ0Skgd23I
gsvU05B7Dz3ccrbGFcw7O311tFoH1M9fz3isbNi0tId6aJ8MGdeUKwNuN1BkQRG6X+D73ONfeB1w
0fG19VNeJe9wLUweui7VhyPuDFjmUC95PU49dYHeNk8O+SPQ2nlYjRovDwGNINmYFPNBwyPWykNU
gqsMFW/N4IVB1BUwfqimQWkRFOjwVgI1VVsdYaKfD7wFVhZ95iXwNujyUDCs3IYtf2ug7NjAwdGC
OAR00oOx3adWW+8wH+Vse+mAhsy6Qw1ENCFfiVVS+olHQ7UIxgzRzFtQ52YX2J2x3EUVw5k5H4Jc
8SPziHW5bTX8+qMpMEnwC5m1g5Jr4empvGlV98qtV5Xvc9lUIARaQaUxZ/jFZo4YnNHfwlxD2NEi
CdAJRzTLNf6TlA/WRlD3LRQf68xIMIHz1EMow+zM1j1kyZEzhlv0ZU95ZmJ25IeOtkuHoj18XCRJ
MxPYbDVqW7tcB2QP3xWDpNvTvYdRGkQMZ/xPodt3Q8IvFaVIdE2t9XZG2isy3omLdylp2RWsV1HH
32VDeZ0og4F7pUTgooADsuBMvE1cWCzzeBzb9jXX8zuYWdOHeij9fExeOaL57Bf+jT5hwsymldux
k+TWQBherbgTSymGNMKtGcY2ytu0qn36+LyLCC/IkHNZdSOvF/q9tzJl+egbskZ7tJBH3Yjeucm5
qh3+roy5OqXLpcJcghCNpps/5zH/CkT41TT4RbjzpD/UhFb0vF3swB7mhU8egQx3lzuGR9Lulwty
65p4HfXk4rwkBoNPWPZcTJK78ePNKGtuihGRKKOS4rWoRhEwF2yOSDbswKJI3zAvCo9z6Rn3haL+
FyxK/bGdSW2DYr1D7EZSLrzpbdEysm30gd8hitVJKm26ihwBqb4Jk03TLSLIXG5KZGPnZEzxxvQV
V1nJH04jBY8U3KimzkEgsaMG5FHkAa34u54Pyd0Q0xiutxeajGWvG70IJov9Zc/G0K/6tMIuw8dt
Ae+lPtPLq0k3s5UPzm2YAbP4+GxRF66o3PLsDCjpIoNLoKwbb2OOvDcfV/nHUBhctHelmIoFM1ju
HYvFnCRuLuePC2C9wrnF7xJrKa/MmWPMG7i/LVoeuj8+uq4f1/QGLqMpE10wpEb4QvyVtrfx+1EQ
8rPI0tH2zII4vezkFU81H4GRvTM0BIdlcvfoyJY2BSqsjSix0+ptX57dRJ+ubTKq5Zi+klgwA+IZ
y3OYITnMXe4IEhG0fWRzn1YsHdHaxt7OdbjIygKhiqY8fjo5FZy9BTkbHA7GUhIZaV2BRiUNHKDu
OTRGQmmV6WxcxOAIim2SeYVqD6MD8swtB7kl2VTf6+SiBRpRgBuikDncRj66D6Z72Is7Ru4S+HE5
X9Udh0ltDSQIs9PahAO/wtgb3EVMFvYFAA88CLn559kkPCqaj5t2SJxho0UaRtcuvrWZHm9b27oT
czpfkUWHR6mr1sfOyMXUTDU7uITPryKmE3RNeZ4ca7ru3ewduQNvzcwd8PFeYyjJtlnBt+wNPler
ZAFsoUXfalSSjCfshiGzFt4KY2EdWjXMkMLmvUF776KPIjWHzWmUcJ5Y9A47o22/SXhwgFVYw1aN
+6VgrUFfF99qY3/truArc5TRcU4mth9arnI0OSyeAwHkkrzfCfUn3MvlK/3KOsulInACj7RkjTFF
m76KtJq2BnWyDWddPNgRtbuSkH0vc6T6YzLqfISmHkahH0aG1Qepzu4xrigJ48gC90qeUh65uxbj
S4pPvNMD9pKtChYrrg3MrI12rMP+RUNY9MZU55uV0J36kTll7xKzBCmNoK0XZi/eNO67sq12XpER
pUFOWGNu6rTlnk+tQUMMysRfGDK8AMJfNLSLAK+vcdVJor+x3RZ7Ig467YmEmWET99GQY7nwTDDY
bW44iKeyJrm2BxK8gkiUoUYAO+UDMR8PP5Vit3/fl1DXWA58H8AP0CRhh1H3/ITizT1NLPhKiT5P
ZgSRS/xOMBVuxlI+9C3DGLvjrrOSvyUY/74o+/i5Fis64UjdNfXfyGge3SGBA3W/N8aPw4570Eyy
t3IEF0Ie4/tfv8rfG6CPnwbrBFKF4SGT+e2nLWNEWvNS9iyouEDWSgB7vRZEmtK3/24CPhAjf9ME
GCZwkJ8+lH+Ck+xfxpfkl/3xjy/5h7bKRkClu1T5/7Q/Nhz9D+jV63KZ8SZ/BXLIDz+dEH+AMmHj
y4DJskAC0xz86AAM+QcfNSp2Ya62fPjP/0oHwBL6534Tqhm9M8vltZEGJk7q7K83CjzWfEmJ9vik
VF0j510KyAg8TNnOLnnhnWsrAmCQ5O232l31SXGm3aPbhldmaeAL8wQvLswHqk4dOOZWc4xN52k1
uuyhfla6zvdB6UfdqEGHuE1bbgJfq+01nXrKdj3st6Cmqj4LDZIg8teRaNhsvqrEnN0vqbnsvYgK
KDa0/nu5aMi4Ymu04EYk8c1U5iw3Y9WNL9h9IWWw4U04oXjbNnE0sONtGavtMBc1R5v98iuKmvQF
Qvd8q7Ft3Qq09c9zu7QbrwZoiN9o6b4PbWQwiM5Zu6FGu4ti5w5zR0KEea7E59VQ93dTjI+z6H9b
/o+PgD6ffHqqZQ59uQJkfjqrCmiuKS5559PSmt7BNns7qMWEO5+MMI4NUzSrUEkU3i1TesFigVRL
FEqy4mlBZtTVEkPdcl27OnhLP1yW0I6vBSu8NyBd2mPZ2Oo+XrFgdpKmF+QsjNHQEuRfcCvJK3QD
9a5XZnUjZfsZF7W9t+vx7EajeBCxuKKyeEsb1lM/3ST/x/ns/YbF9TCZcjyuJlJEhBbd7q8vuobd
GoV6DWauKsJnY/30IxZBT4awplsNdDiBUWaL3mCk4IoR5vsFGTI7RVFIoznpr3Vm8DZ49jjdRMQD
HMfKtD+FM//UwHv6TnqPcYo0Md7EvUNhyqDy1pbhF3xu4spLcKGRpzBsnCzX90k5lmTottpVNpjO
FmVCFyx6wTVtdvpw0hfzrXT689gKY09Isb2f6eI6ZGvkGNM7BJNNKY0hPN7ZyXNee2QbWNX4DSYK
tUZnjt8AjZgHUpnafUtX4ocxWv966HckEE733JTZtTto3EwqS1i2vulFkrYAAFtHbTNa1pNE7bxJ
MHT02yQBel+5KW7DhR5IMHyjWCun+6nkU/Khb6eXIjabM9kt4nHuyvq7zNno0e1hg0Jk6DXwE12D
lASl9t5UJyf42PoFRMR0K0tjuNiIwDvcULRHQRMv6X5u6WE2ixWJe+JUpxvVGbyhpGbtMHHTzNnr
vallC83aqB6tmOWaB0LyzKzY26w7z7+hN/92ZjGmkMB9DcwGhvlBBUWu+vMNI6IhDKPB1e7jTl/u
Og+8rIYK78s8jaQIuswSII1z7bTV8m0Uctmojp37xhrn+C2tq+m6dkR4bDq9eXQbq97mca5fNbJ+
mry1r+md4nPR8F2yobVzdNJmeZXz2Z8rQBq+3kVLoGz0dxh/xP2kY73wocquMw5tvlhr5c9xNbNU
wEzAgVpl2J/qzqAZ10SQYFbme07DdE0rtdx9XLZ1SmvCwnq+tKhozkZdhe/sIPQnqRUKNKehHktt
aWhlE2r8oo6B/mFiSV5LPbtqqlYrNvSIKErMvneurHnJ3CCTsbyROsGQf84D/19EvPiVi7e+/Uie
JAw4h9kvw9D11v7pvBob6tZoacN70daOhkbERQ7TNtonYBC8AiMVGJgapT2kc8Lm2J5qr74QThQj
x4Hii+uJexC/Xd6ER5kN9Us2OO3se2xEIiw0bfiMWJQXs9ppD03Sa7u/Pnv+rxdgrY9X6iaey8yv
f30B5ZKp1ogj9z53GGyBI5yuG2A+uwb6EHSTknMmbNANgcDjiCljZkY06vWLHur2CfVI+M69R38K
m+MFFJBxhvNCESvqPtw1uQwfcrcBPhKXEWafv/7dfwuo/XjzGQ+7xEvAthMfUu1f3vyiTVooFPZ9
1dtM2Uelwneu5lDumUDkJEAkyyWdFMt0FM5XXSF5BaIsnYOsk+EItYW2DLvnIbfHFuVmoz10TuFd
eaPVMWhp+vJmkYp8DMHrHwsvF34HKeWdEB3sal5ivapw7A/6ssgBt8gy3fbWmJUIq1zWKKm9+NPq
Je36PnwUhJHvNanJIxB+Zg1w0ne5MsGC5fH03DrlctWO63IK5VIA0qiUm06I6TtEZc4rVNvasGG3
YwSLWRP7W2WvBtZkRbpLg56irg+5hZmwdLnVqQmm249bL/S06A21SIx4OOM/9lgTj8vUinvGHLiQ
i5QOHEde/KbXatmlDBufufKG71ZerCfI+takLDH6BJmdpS+8fRaaXyyKrb5ut7MHVNcLO36GcE9u
kX4zq6I6NFE8HYDVq03b4rnULBw4ROKqrY3X9RreJc+Sv74QKBK5Sv+3bOBKQA5IzWBIzuy1HPyt
bOCsZgwC1xyRk9G5G7RFMVOp9WzOxwm3WdgAco1X83e8kL9LKVa/OKJbcNhzJgVRoeCPwbRCI5Uf
mwT3oz/DDck2g5YmrBCjctc1mAJ97iT9dR71/POapv0KHWj43rPL07YMqgugWLGsEpTmZX4ZSJoN
gHyi/UZIb+bs/vIw3+VGSBvsQY/cS0wpW5Y27mGyis9YmQ2T31LN+UYTZKk1jnaHyWwet6rX+zdU
hxyRWbkyTplFTsairizu2r2bo9z39fVzrceke8QfsLe1jPX+JJIl8Mz50ajhnJgVmjt+n5jgqpQb
wossLtZUKGvDOsv9BiC22LaEJx4rI9X3i0faGm6uBTALjrzqAjrP8jZ1n8VfeA4kXxAY5Lm/1KPJ
jDMp0keFexsDedY40T6mbkEfb3Ia+IrwqTcNeei9NoxrgdNO1VGXMMA0Eo+3LZ6biCBgxnhY25l6
QMrjyMvJP9XJSG7557DruQ3mGMDdRjrKstYNaPkQRZ06hLrFU2cxUvM1Jod63jAkr7OT1oGPaUxv
vos6Aj2DBZvba5FXnKtdUzBb5WTXN1q5GOfIHrPjzIWAsxpt/Ym0IqQPtmGaT0a1JJLrqV/uSKZE
62O46XTfUlvu0dB76LeJt30XTiYJkVo02FRFxgABz2zk6+0yBkyBPLJkHRKPWeK7jBA1rsKkocr0
p6jddkxn8AjVob5NzCV/Z4Z5jyspTzY2ZWvoj4RnbvIxK65dt4hvReGOGx4GGMSUNy93HzfSv9db
f9PZmjz8/nK/9fhddf/xJQEXU/4KjPnxlf9YcbnssRwHPC0YLYEjmG/6Y8UlxR+OLSj12c0axJr8
pJNmj+WY+go/ZvNlAtBlQPOjwQXLidfH0ZGkAuyn0vP+lQaXuJ5fz8mV2k6bQYPNQ5O67/cQn2i2
xrxMo/igCrc/VbJkAliKWp3MmZRDpEoV+6IeI6AywDYVQLD1ZEq2uW6M+yxutRR+Ws9srfPaT7Rv
+HLM3PuSyC6/Qg3HTUwubXWqMGLsqBy7jFlwbB8UgX/trk/7cNmQSTzSzUk7t9n4AGwfPNYpdg03
nNDjY0k66IAuAj9cVMjos1EqL/QHQOEsxtInbyTYSZEOSsOh0FJ3w0IpC1MlGTRSnAk1vOMONo5k
SkLLnko1Bl1IaCPz57C5t+cmOfMlmGda3R2u6kq7S8I6Vdt4Ssd9azbVZRnhkkNM0B+Xth2gyujz
Q1jP5m5uFbefp2gsyJheg2PLDOcmBthtYqT5DtH7UPrxOBefoti2d/gq603Kjb919cY4eUbyucoq
248QPF2kNe8kmIKNRiIy8XAVXiGVWN2nrE7d25AHwV1omTozfqe1jF0197xiIs1Io+1Dz5dotwNR
D4iyoZ9u+Z0/TIvWxqo8oFSa6/rhZD72WVbvDfCkrgW5h+Ckm0guBB+KGaLXlg2Q2Fg2GtmSPZh1
BjI4hFR8zpotuXQ+AV57j4Cpz5aaUxafyWIE2kBsrZXOiGhbVdp8HnZ/Bqy271L9OUkhkfa8liAL
uy8hmZVHb2w/g+pEgMIj+SvRFPPRiGsXOoOMt3bG4NPo7C1alehe8YzEQOZW+UWmRXON7hmlkwdv
xPVrUoNvol45txk0GxTg7vActqG4IxUwDQhNnc48Rr93wowAGay5smGTRGvOpjpOHork1DE32POm
c+5AZ2D6ir+m1MI7w+yeIvTP7Hjd7BBzQkensWP1cjeR4tW8tMjcvpIq278n6WDcOSTQntKoMT9B
CUC4BQblbMMldGAdFbxlY120l17oX7HO9deombVAjPp3ANBf3XHEdF7YZXMYUrw2eWLqN3PuGooN
0ow7KIr7h0VD550OYR44TZivjoK+L/a61dvpLnSqMoe4P45f4whMDitB3EGglRo1+VnaGj7+YBHY
blcESakG/W5AfYxAPdbPbHuIZJ6MGXl5LW4xlj0vyntmv+K3uukFLaGg9d5jn0C76MZNi0+JK0aP
hPNoh/IhCuvvOib62SciqQaKJLEf5AMG+jiHNVl6VNLg2MU+4sy55ztEvmuq+BqF0kmSxnogy7gA
YO5Y8bTpIzWKi/LUErFpmNpo07f1c5EQ/XLfQqriV1K7VOvD2wHeBD7crL7Mgzls1eBMu173gAeY
8SHLlqG5E4uQxb4PjYKnLDaFU2ayPAsSVZc5ieSVjc7JDAPXrGLA66ERNHU3snSAdGcwNnokzwK4
fLecSt1li9Sp+ApNJB5mR5ARH84D/J553OH2S/xoyrMnAolmCudmPMnEZZnSYf8NZ6NHFGyhGGtT
+w5+cxawRWa5McbFRrKexpFZNMc0M0nm6nuMVxayvsEooss42CPvAOu9hybX7YONxuwyIdj9Mkbb
uM9PSIWibcG6Gnjo6iSegMzv0vqETeBJhBOorlaJw7SESwDhoD7ltl5djNxsEt9GPdr6TdUIWCOr
DvEAuFdyUrXNnem15oO0JWWJw/I2Bqk/buZ6ma9CDUH8xsuz7HlJgbdakzuyJIeXxQHxNc/wgcHx
pL6GTtjuwJQZ/rQM1/kSze99vIDjHFx3FyPVJEIhqfurKVTfrNBpAMewp/RjpzS2ldD7Q1hQ6lZV
2IK36r/yYME+Arl/Xy4NMvw8rDSi9epxhMBKSMQ3UfK0CWgI1dlaPWhDZHyKUGIBEy30U4Lab9OW
ABZylxiDeKE9qqXuE7MoCRkFHmCU2rAXbQlJcWYsGnpZfHBolgCoSf3kdCPbqaqVO1Xr4txjZjpN
pZsEk8jvSTGfN66K0JCC4pd4NZP3nqDPyoesZjGF6CxWmUO+ZUbTYIkzCiK02GtuUcjetgbWjmoS
pDJzi17iOkqQ4E6gPfJa2zCg8La2SIzj3DXhbuybE/ikJtCXSb0RvAy4pKjHgFK7PnemGflLb8WH
dvFepdcVZBnA0fSiPuiz8bUo2IfpxmwEfc/jBvTngelctO/HfE27l9cDto5OIQE2C8G2vR/su9FK
il0L2hRWz32vK+1ujNPbiff1GE42GkU9v47cYtlNULN5NCbwQH1nUM7OXlQLuNUDmWUPfbdqPefP
VjbP/tjzvt43fRI5xyXt5v4CrDOqAsGTk242mdAUsmglwci3iN3VA6eUi47Aw6uXT0Wie9rTqMQ0
Y2Nx8VcmNtoSfchK3LeYPfLcClx6u3lf28kn223XLKlhoZRRYESvh8xouawo332RpuuK3GiL73Nl
TLZPHd/coM3V4i2LvOXRrPvpcaU3HV2sKae+KdVVM2tjh9rfnZyNMWfDUXeykaM/R7AzDXG3pzOE
YVFwYq653S9zKqEfsYw/DmB/WKcJt7iXS58cCaxn02/aDKS9EZ+sjN4a0Wsg7Eb7Vs2yQZvbkBEN
H6X0C8TFPptw3qBsJlkn1qPoizWHGH3Tgp1hnbEh9QrT2q9Dj2GrL3CaRjh2o8/TbRkRWdbmqUXx
Ggcd06h13Tz3iCV4cuk7W60SYjnHiICVC157yfL4OBOzDS5TqoExRjz3p5yVxkFrGgDQDHhg5ej0
3TeGjTUCpenSJFh6Gy+opLe029jsnS16fv1Z2WlsbKdUT+9k3Db3qZeO2MDJQSAdw4PZl4TTriVQ
Zo9uFY9Kk02DjhWidVnLt3P3iEPU2wIywi+LSt4GQjbNTyBBrJ2j7CuzwzPnJ4jJAVWj1OHr0eYr
Qon3UaKB3SDrNgrMSSuuLaJgcN5pbpNvCnZJByux9EdmlSDaaj0Esdyb4Fzr2SphF7Echl2GvIvD
ewlM3qQTjqBXC8oeN7atFwAs+rChpdUxPXhtRo5p1yPqbntcFR1ArXpjOXFxg/xcslvO4j7o7PgC
V7sGAFx057F3cWbHkpFryfbpTuVtT4SkXeZXLOLbwONDO+LgaYZtjvz6bQpl/NWj5v6MGs09hYz7
wavNg3tWOqXZlpV35F2Q/SDSn90nRFXqcQ5pn53Itna5tmCdmmz90IqZXQ4GD+fZRIlA9BeE733C
Zo5nifAueTrP3wVOW5rhxHjhPE1YrWtAaRvLeWIGgNo9w/Qc7rQmieWW4bLwo65od3PZmfe9UZkB
SGdQgbObBZmVMDabin5ddQ2nxR3G65mcyHvlZuDdy3FC8QEnpsrq+GVmnNj4oqosVOpV5/i1UbdB
I4ZuU1QT4HdE94HmxM5OoP16E6WYzrVKlmvZLPWnekS8t+E8T9+rzlAPXqnnT5GBJHwLltU7VnMU
HhP2XEdC2podjJUGI1Hk3JlLNyL+x9ohFsjgGuo3mnmrDubSNaj94dHadthvKhffFEdzUe5GB7pr
mmvY43Rq8drLx4eqzc2dprdBVzfpTRKhZE/TYrhOXVecOCSGLTcgN4s7CAoWTj4zaxmCa00dZEXq
BLNlFBXT9LnxK2TCVAxWeoKIGAagGhoKqC4HpOPY61gnHoOECfz70FXjm1PAfN4Q7DZdILGBoBxb
q/pzGvzv/v9v+n/grrBZ/0LfeijfkpffqCF/fs0/rNHWH+TjQP+w2EWjVKXx/kfjL/8ACOTR2SNu
XaEh/BFlRBf/139aKGJtD9krC0m4IgjHf278Xf5g/TI0rmhj/yXDtGX9umJkpbimbfDdPNtEjYF2
79cxfy+Qyi/xpB1Cc5kwg+T5i52yOQKNrgvyxHAeDFAPZvZDPUM6bFrseJy4LS4LUO5pYxjE2oV6
Mry5vVHcLJARv3p6Old+RCY93tleK7ZTFXawnpbya2Gz5NMdQ9zADqOhTDEoXuCAsn/K0gJckfJy
B16l/AQBIL9vcWvf6MNLUbUstVWcfelAzz1XGW39Zhl48mIFqacXBRlhglOhMVPVzAgE6+SV5sRq
Ehs2JXeTvcZaRo1ktgXio1m0IWAksAzZBGucYAyvv6xIWVwRIOksOPhCWkFeoS3ZsG/G5Myz3Lxq
PKbE/hSH8dkEayoDc3YTyKklRt8NDpbqW41A4LniULzu1axvejNXp8hT4zdZDOUz6wO8GIOM5hMJ
683dXKfRCwtkwbNYVD77tN3QI5RzaBVhDsnxmqyF6pbOogIVK6eGUWcxulf5lGTX0iymOyvHDgqX
BNx4dWBE2Ec8A7FWlT27UQsLrUjcWwCT+HBSs/g2IbryzamQt45t1IcQIMknfKGKSBqlAnZ/JlAJ
sOvEJmbl0e4id5siozxh0UjCw6IIaBkWagFfj8hj8RO7cc9Sp2TctNqcfzGLuv/UW+vRTvmx+H02
GE+Jm4VPnVZPh3q0mwBijHYeF5Gua1iH0HuGAOMULuclMvrHfPVPbWyvaM8jSc6nWMrh3Wu9heg+
cl8zIr2sGJ9KmQf0rmW6LUevKanl3eGS09QYFBf4RJoPoJaaYAqiUIP/KKg7vqbUyjnRCg3uOwqq
6LaUXmns2Sck93GdmY8iKhIstQQ2ICRz8bKDNdv1TWydDEGxBJS2ivea2UXKn6t6K7qh2YN3Idsb
Awq2sXR61sqoPaLa9L6P7chwy9ELIsUMlG9JgJ/Zu/dSZ+Gp20WV9pRGpnMbW0mZ+YOEmOzT+2bf
LII4vFXPzP5BR3rnoUbYNAVjbT7H7PNoMG9yp1RdlDHHR5ddihcY1dickYQDc3HmqMDUklYP0mz0
m6hldrfVGv7cqCLr0uDjqgJa0fo65WmZKNz23OVPU2mkVory2aP08LNJSB3i5ZDo/F9VGlHX+ZM3
zKlzryqPuN5zyaOvZAcOVhil54i7JhwWPbyfx8Gcj7Edp/tmdG4NmWaknbrLBsN45GPc8D5NbI+G
QKGFfw5Db/aNPKRFcnvLwzhfi2rDUOC/2Tuv3jiSNGv/omxkRkY6YLEX5Q2LnpS5SVBsKb2L9Pnr
vyequ2ck9a5mB9ibD9gbAY0Zslgu4jXnPMd56nunr1dzYnXrTs4NqMTEvJUMBAnLgRwqGwxkhOEw
ykAbuw1CCP24Qfko8n15DNsJ5G0CSvRlCke7uHH7zkzvvQToZ7CR9dKbT3JpxwJDjueWzq2wGuMw
9upVcr1CifeBHEx4yY+2Gk6k2riXqq7Vntkl7sMpX/YU1PNDU/kCEUbOpe070dGf2/xhVLZ6zEme
WMsM1n5oBzSnaIY2xJcRy0LgpNXEt6jAVz3iS3blyc2QntjQ8Jtso9n3XthsgwTHexg7K9JvT2kq
Vn3D0gNdDI2Da4zrqWnlayxteQxbVa0tXpYdNon2LjHlp6Cvow0+OgrycTAu6WKFh0if1nNvfihx
SKKQBFyYzb+rdjh3C69h2JnnFHsj3XCQmTuzjV8mOy5XeVq9+t7sHQu/focjmW8BFj5SoVOWI4+J
bHXnjml63zXlRyCEE73FGTmhuSvM6mlImAcWk9dRX83UzGM2bESZk2rcT7V/8GKAeLPLQKYf2gYe
dOxeKDrbk7Lbc5eGIIQCf9iT5ig3VosqckXQqrnx6M9PeOVlwtOrl0/x1LYXNJn0BCOyJD5GZ5d3
+8aMFHEoRl8+mlNT7RnKGXrtz6dprpbbmVwbppoVUhM/ceqHZp6DR3uhlN8QEpo/4EYY79xA/e5V
sXnCx2edF/LStkaLkJwwlgkSFngsJgo+H79nxDgUmpZTbRqa4+1CHt0mcqP5Fu8vMI7BUi9LFvVr
w5EtTM/kwUE1ylciwwo5DO1tobJircByPQ15GD44IpQr2SNkcOAXAJ4bzkFIXFMm7Pgtn8K3uDUZ
ctXeeC+mYDonqrUfXbgOT/2I4a6zoTd4RbkmQ5eT3zA/OG3crByDf+J00jNz/lKRee/jNLSPPju4
NWiLeYe8K9j1o5d/c9uwvGVP1fYLqp5OsqdUfStvOWOMm7RLPLFqGMQ+YnvMN41XZmdC4WxMEKKm
4m/jd5nnmmFCYNXay/pHPoT5bVCZ+X3qhJA4Sqzlibu0G8sy7z3Qq5tOpOhRFtu+z3072Bj9XN85
o/XZGZS7bSwjeyoCegUmsuJDV0ms1yNeBz4ZcQbTeDDpyqVX7uZEKBZntrunfUjOxuAGJ6cdZxjB
yXR0O65Iwn/co8G01/o/BegfIXP/ok4mBUG7tv57H9glwQfWVt3b9y6wP3/qr0o5+I01FBUyUksW
UKzC/lEqBx5KT10js/Gy+RJ9B9iTwW/E0+swBfZqf9TDf+3IpP2bDAKC7izb9J1A197/+R8/KHja
n/77exOnFo/8uCRDRsC8T7CNE/yBaAl+UhLb2JmLTpYmM2Gj0jQsandjwwg7PCSdNdHISRsOLvaF
Wu0YxxJ27iL5/zpNOfOMAivmqu7n9jLN7MuxZCHT+zAtuZSv5PTa+Hxa60vki+ilALyxZkbmfBik
7LCiRx07i8AId0mFDnVVsUS/RCP/45rRd0AqaRpnyObS8swWmtt4ch5y1dlfjFGG89lsG2ABKGg7
LppAli92xkz1pl20L7/P3REztCzs/vd0AayFsxyyKdDAVYB/fpnbcYMWiDOIjcA6Jr77E0HiI2Pe
fiiMS2Yn6FkaJgL1LuO9fYpCzGVrG2Q4hTcxTC9WTEsbxWO5rBUjJ/coXaf93UOrQNh3L44tffVe
TET5NcG8haIE49zESroaaGf3qUie58zO7l0EJ1QUwWxfZi8Ni0032QkyfLsjMxUJ0JaUmjds7Djo
TFzKOjqCFoHJ8LYJsFJQdYNXX4AVOwj+jfaRyYBzGa5Eko6ZLmk4QVNxFwbh60IKz1OtbcasHRgV
qbCzDXDhtZOf81YSN+VxeZD1p+KtYQuP2DsWa42qGWD1U3lyg4p8wdrjtezJ8FsJzlKM5vM8nrse
uDJejjreepx+j+CGsBnswwjRTma5GUaZeVzB6TvM6biUG8+fMcvLsAGaPofhASGo+FgvbGVXS2ss
z0Hu5XKFXFdjwQ3TJ4xX4SB8iVCkeea2B9Q2Gcym8kAHsDOhMhG0RE7JtZzmgLHf8MgreHwefYHj
5BDrEX2IppZ0HoRzTQAhtrjQrWMyLI9+HOLIiKWuuCrwkOQAaI5HA/PHDZhE9h0T8Jy0YNo+R4zb
fAmHtQIOTDvhPWeTs4E5cgQSdXFmlgULHYKXVLeyWZp172R7ORXhCRDFDidK+2IY8cOErGaleJhd
tJCBVwzzJ8sckSt7SbgLh/nJzNP22Kg43i5uk96QOGoea3B1uy5sxCkwKFCz1oJMZMRoAuWUnCQE
csarFTdDPi9HE24mb1AuXoJZfC47PPGNFXmrNO6MtezSAdid13Un/N3psU0IbGLQcwLHFZ0b18Ow
shSEgQArqowAKkfd7ySzvywzmg2BXCVONQMaDOptJoxx/JXYgo/exMokCCuy2BqiDAOszBDbpT+y
w52jm1LzDNpkhliYLk9dYsDTgI+9GsBJrqVKrXv++vScotZWbHO7+ogepf9a5/W88WPaQY8v26Gp
h03mYWUso6U7YKs7lqPz1NhQ/vzkhoJwH2A2B1uzPCfgbSqzDU7omR9xRR1LTGwb32QJm/LqR27M
qkq+tE2z9+fpkgqDkafTM7itc/xc4dKuKC5fmTUnK5ig3OhF/jWXJgP9cgRiQsj2U2KUF0ba1jro
sPQ1ncMhmPgXqnl6xWKaVoxKqN18IR/MPi63BVJIzK7DyGerZhjN++HuRVuAmIgDBFIqf188IsTY
YAUnl+Py1CsbZEFop7eQr9NDD3Z4w7dCq9ObhyFtt4bPkwIBezv5Mn2DkkzL3oceJIO0NcAYCvmY
iMY9VTWEf94wtasRZX7ymvijabSDHj1/i7vCOqC1J78uQaHq4nBHuBAGp35O7G3Lsf6AlBlb1OIG
xyz12A+phxE42Y5jwj9XqUGKTQvY8gPnSr8RgxcOq9ru0ttU9AOmwKzbm7xRO7jr/a0TOfGjPRGS
ribzcVFGt5Fp8amNACmwgLubpwK+CYbJKWV1TsTBY8u+hFcIXVRvprvUzijIYL680WPeEgLD7dCE
SC+sAAho94xQgVkqeRhPhNdfagNk+mR16QtckxeH4NRVbgxvxF5+JE36KHrgM7XVE32aEwUYi5H6
C3Wkm+4DQSXtp42kiYqaPcbV99KZna0DcetgduK5Dr2MD3BGVFoR58PZaUbzNrYYFwf1Td7Gr24m
FrSuy5YsAHbJbb11jeAz8R4tJkOHnpCztDb8e7+12RkgtJp461iwDhGJY+7if86Yf3/MHR/RmO3x
VTPgVwhmAt48bIcmO3m+6HbO0IgzSyEyw4Y6AbsfVPE6m3OfgUq/HOOqO3Q125okzPZdDj4AjhUM
1cHYcZnl6yUM4J+O8JZYqfTynbTGjgO7MvxbIDTyAR4sVjV2qJe8h/pCH1xtUXvGX2oceGsI6zdT
wgSnHPMXS7LMDKtLMJDLYKdBsBWqexrm9rZJvOJ9mMpD4M8fUy8D+87zcaesytbId5LzMNtH9lbW
DiWnj7+XLAooSzInIiFs6k2/xNbZSRx6J8OeGb9F9qew6oFPmxYBPoZC7L5lPQXBHBfkfWQMkOEq
FaNU0DGKyVge5spJqcot4Dl93d+IqAzXiRDoAHoS00Kb5F0Dz+swsIiuaGmxC96OpidemYOVd2ZU
D9MG4oVk+jcvaf9YpgaeqzZbTtNgv8jJrL+wMDaiQ1iUfbZzvNHGAJZbo1phCZgHtnc5/uQueC+M
4d6KsXl3YNEfWY7cE/ZirJvMeCjmuL/LpuRDS7e96ycXbtLifmBfkz8zHTsJAx+mxdPTDWfzmeNV
HkZ0Dm/0IWo7OqE6shcS27QiAAVacLLyfbIAC+I+10k7fAoQeGxL0zcu0TBmr3WAOgDwkv/N7Z1o
0+toBSe28zdGhPOTNxou8ij/k505OJ/9wnv1PCKvjNA118KL0+cyKk1SLXWenZcXRFpM1WaS+kvE
G8a0abKzXeMnHMgBf16kiGct0t9rlX2ZTcN7DIJy+EATuGXtRBqjmTmbeeDK9tLaQkiQKNIEl5ro
h9pU+RnlIVb4nnCRpS2jiyXyQ5cR4ms4HoF/CLEe/YKIFI7buH/Au+gfFs9tPhhLcKiAeD0PmH13
VpDgTg2WLLnBr/87YZXvnM7QmJglb3oV9i8Ji1G3tIN9Hah5A6M42Ya1ywWRBC7NHBLi2BFmyYo7
Fbcl0591JZzmJrVatKBdO98UEpISqqxpg7TkPY8KggSnPLHuaxRMTxyQ7bS1GaH6K3bwsV6MRe1O
Ql3m8mqN8lNDnMc5cmcSIKkFX00GL/OaGDQfDpmc7ScsHtaXMnfcL4zY4lWzdBEgMFpgw8opGHpe
c6EDhRbw3RTAw8lDqblKenNT2uIupFEhcJZY4j4EGZxvCiqPdQzfJorXKEaKMT4rWuUd5MHoKWAs
qCBG5cG6KIdXJpZHV4y/V6Hr7pvaWzZFVxOIFkbuMSwrsVomB5CONPe8aycn1QkoyYDLogKIj0bo
89DJjgwa3GZljYXGyZF8qrDh/suqQyxhYbEB7lY1sDKCqIhhjVU6nEpz3IbKvk3j1H5JoEPtc8Qs
5yQuqjPBNcU684KneYl3+dCoRxUPcm9aX3omujvmLdU2LcIXK1LFKm/EJjSkvXHjut60joKQlEKt
cedyywr1sCCsXheK2TlLCmtNimK9Tlg++/nEKEyB2pS+yyJVo5WWLP4M3fPGpcDfmT4vcRHUL1NV
VluPxEMStIrz6CYE8lh+wfiE0hDMFCKRyKu5E/OKgFr5yNZU7uEavudl/1LVs3NnuPha2NFTLjvz
Ds+8XKu6Y9Y44/GoHXVBTjzsyK0Wr/moCJHNC8TUXVusBZOG9TQbcpVazArIREKlhDKaMXFV3WTF
grWlnnaQ0nCcVGECeYo5w+QhC0/4lE85obCmhBc5+eGLZ+U3TdzLWyUDGOlN+Y3iF7Vk3OLeXipW
fAwtJjncTSwwdgtC4BdWe2gnZY+bQpYBSCuKHaFDnGeU05cs4nCZUfbuAhOyoeuHX8yW6VKQTe4+
BmnHrIqMCxSH1hqhGFWPVQd3Zp3eltPc3woTAHfVjGtUGIhqpDnfCvafBn7c9eIyovGGYYC24I03
rK1+r+g3csv4hAXoLardPcKzHvYk17BIsx10hmOI/2S7ELSSx98Mv0Hq7BL/R+pQfWgydd8k9rmc
Yo7HmOQh6IDmrq5pb1EE2mzomd8huYBTkJ7ZRXGBpmxgM//F8WLcIcnyNnn9e9hHX6qK6aBf2Q99
d/GqEIQowjnaqeizYWAX6GV+JBiMGE7bu1kC/6MPIlIFQbXPuBxXIvLr2zBkrWCUpoWtqn5IR6oz
o00JzukXpq7Q0MzbLKxGyjPjvnebwV9lxbRwJRBCw+J54GgwjTrezb7fHhGzuZ+xdX21M/DrdjgS
U2rj/V+NMu8QMznFp7xKi2qbJFZxy5UFg2uq7JwCr1IemBhVPoyd6A6DQU4PGPMMthV5DutaKDNe
V1lXfxLkfUN7GByanLp5GXs/Pw5DPBypqrNj4MXlXgalZMOzoD80e3enyv55BnGPeiu4C/w+vS8T
w/rmJG1/XuLEPdW2rw4in7NTXwFHQsapnmUJh9JX4o0ePr1kJZPgMDLvliUa1kNbRTcYdOx1bwnn
Ypmu3GJZmfZ2NfmbdKBbGrAx7LqA4EfFBD+0SzK6S1tuosmgqWpYqCXsMzbMNgzSTlk5yN5fu3Vq
b0Wch3eu1bksrecvftEzABfemxflvGIUtZeyz8uDSuejo4ZlhdPlli04ZUUbe9zFAatEMyEuCnVC
WsToOWqYepK6Es4Kv564bTSCNFnuRLlH17+TAvplN4l1NU3pjuSQ/EjdeGQUmq5zsAI7vVPdcpoj
qUFzuYUjuE9j5oyz4T/2qSH3tMJMXOwp/TRkQUAlLU2oPTLmFhrpFpAvBOeyLXGSZ6nciNBzWHNB
YR9oPypLNGcPSROqizw5tJm01krVkI671jyDs+tg6trfmgXdU4CLSvcWYkluyUEMt9MSFXh/eRuh
P69SRp1bFE3ER6K+WIEf6jZZ4xtncvLuE4HVk8T5S+R6r2hu2j31dbOedApPO0270jL3ETn04Poc
ehknnnd9lvCr/J5VY9J9Xar6wa26y1yTw6YAai6RDd2ETVoq7BJIYoFrqot5ejnjGrtdm/HEqeyY
4SGucoxIWe1QtJCFxTd13UPgRUHVcUY6ltpQAH4ZvBQynXP0ZXM/dRVsUnSjG1pIhEjdKwQjAiT6
aUurxSfZAkTdDVhr+DaYt4vViz0LR8YoC5eu7OwjoiXwt2A6CUBaBlIPm8aCv2RAYfrQSIOxyTiO
Phx+65mz81EQl8gzgrxCHgadlz+uI0U72BEqvSzkdzMR2FhhMp5i36KOk+UX0mSChzTCI0g1u2dZ
Fm/cyV5eiP249xailKbaEozhzV3XOt5KKkX8O4WysXGJvULp6aXPRRh/9a3mtl3EOfPdNwyCuLje
OqvY953/TQ1Q80w/mcFHL4itimDTpOXaSmtUas3wrSZaYp0b2ee4MeJtI3VIOjLADEEMQxWfWQmq
y2hTksGB1Zs9NKfW57RK71XMAc16XrnTujYlyQj9IE4kTbs1ThLMaeNAUz40M7qfnpu8HrIC9WrN
LradSuRaOKfHxj3XBEQpk1j3dNJWySzvd0xxohNXlrPKFstruKHnpr8xqkXtZYvZhNWZVMcEk+K9
z6kG0K+1lFNQGjcxKe5U5N2zId0CAiX8mxk5YTaqtW3FjNpYT/MtLBrRJ7tUBlYjVnCmZ4fFlIpw
iZpILX2sdNnkZR0kFlCFyJKvQ+j/bV0LgcC3b0S//Yf+xe8UF5xzcfefP/4nw+Q/H1fzD374j+2V
ovDQf1Xz49e2z/nRP+bQ+v/5P/0f/2dAfwbnmnDx30/izwz0+/ds/n4Q/+cP/TWIt34jepbDPvDg
OmhZyl+KleA3x7OkDATVga/n8P9QrNjBb5YUgWWCasPxaumI4r+sKi5jeOgipGBLaA76p/56+n96
4H85hkf68r2jD+IbpDih5/k2/ma4hj8KVmzwQ8pfwuiEZJVBDf5n72G0omVHHk23T+gJkFt+YdCC
3qCREhEkByRZbEN3UB5gYbuxmj07V4K8vnsZ/wu3Pqadv/1pPDnHZEegWSPmz1qaqWXokQnfPXpk
9VZ3AYvUO39x2YyDLnCyldWTA2pJQ24TNJddxJbfqIH5FtiSw9/9srQeWsvxG7WtZ6/wPiwkntzO
cYPqFMO49amI4w5pIFC0ZccxaPib3MFHfMeynG/XRrqd4R9Ix1s23Fklx7eVjzKbNhW6RfUSk4dy
AJYALYDE8rx59MM2nzeoplnSIvcITr7qLS2LSbcTUKfG72OSH4PRt+8Xy+1fggqp+aga4DxYXtHC
92PafClQvRI/Z9O3DNDXmApz6yLHzNiQ7oaQCuDUUWBnOHGAmiIMseUDqkhysCLk8yp8JajXAPO9
qBOVhLXve7t9J6lH3QWFM23ctD1bUXWqK7d99spkurcCUvEYwXVn1JvDaTIg7iTewmQlR1tx20h7
vimjGEptmiFgQpH4aEg8DXYKSyxpq4p1Rs69G4YMzczeGQEX4/dZ+owtgRfP7XZMhukm8pYns4/y
O4WdAiF7UHp4DskK2DE9kV/o0Bni1jGkP/rEBaWPmbiPpp/Vj0NS2jSIPrz0YfGgGNgAcC8A4Fr7
JdW6wAkoA8VXs0XFK2ioUQ/OiCkwUdsoCrW2kFKl3NVXwaGlXC4CrULE/WtBFQ7rLTcSFalWKzJM
qY5SKxgtrWXkVW8wVmRqhx/DPEWWHZwCC8V2fBVChloTWWt1ZKV1ks1VMpn1Rv3UaB2lrRWVttZW
Rh4qS6n1lmiSQIRoDWY+D4QnXYWZvO5yhxafXq/Wys1MazhtgSS907rORSs88VGNt5izmfaNbb/N
tRJUNoDMOgPMloAmzRNCMcpIlfnNVUWqtKA0v4pLx6vQdNGaU4dfsjam3FiFfoCQNBitNxExTy+u
UlWiXi8N2cMbf5rUQV41rZ2Wt7ZXpWuIyOAoBjdVm2q0Z8YknQeJi9gNaiXPadlYiKbwoPcFdJrI
moN5Az8wWlYsbYxnZ2qRkUjQjccAddE5qJ3K2U68jsfBW2gqC0YJN1HmlmdaIF49qb1scgCP1Q60
2bNw4I35oXwvRu1vS+hEn5exLm8CpM28fEuTXRwUd1i3g3At/ER/u4A+ylWUy3DYDyQU5SiNCP32
SjNxqPQq95h16iWIx+WLNywTuLFWHnHBVavEJQ56U1tGdctJOH4ifdHnwvcJpl0VEU37JktURgLR
WNLOVK3yPpehBwLYaRQFXmVZ/oAFoJYYcxYi8uDwegDoB0YHNzMCWLEK5mE4VhHpUEwFclY/aejn
d06FH404v0jcIdBCFK8GZOZLGQ/Tai7b/A58R70HM8Gsi3Cvytip1mJDUavFvXU5Ds4FNTnkeZaH
r2FXNoQAskql0xb2BcxAc8OsFRmTpxVNidY2Qc4z8o3VEyhkau2Te5VBKa2IQvGvLqOIY+rkEaS/
Vk75DhqqaO6LDZ6JbMvxzOFLKEb2nkb4dVfJVYRl2Mq9Z/WSGx+JUUemNWnFlrC1eAsnFEKuqFau
2kmt71KL3Zzmwho/RX6Mqk/rwCytCCNsYLMYLtuZSOvFzKt0rNMqsjggv90bB/Xk2BUis9By4wcM
o+JDNRTJo8dA3zq0GDPuJQ0soYdzx9yZAWL7GTMESzsJ3NPZK61uC7XOLW6ChsWdNQ2XDoUhoktr
dGI20D6SiGzuQN5OWjXnDC0Pl0fd8I3zHRGaERM14rntZ+bsPEQUmMsNJkl7h4UvPapMTNtGq/U4
G6YjY+jw46C1fEPGh45zni95hnaFKQjesxUjTGMdXGWAqVYEWldxoDcLLRRs0QwizkE+OHRNf+58
172+bUAP4nNhKgPeI6h9MVjelgys99RG5jL6oMezZrJfUX/VR9Yb3n1gxxaPWryLRssZsUfbd5NB
OlzI0b84+U00+yEKRwg/Hgtt1zFwyFiFwSaLkXdNyMPt7FTeXlZGzQ8sk7iDPcF7OmqhpaMll0L0
gg3FjNpK8U8Cz+5zqoWaStjTWToNq8+2jhFyOvDhBi3uzJAmbBT69L2uS75Qv1fvfEqR4curNlRe
daKzloySbAfpg+tUnW1fy04dm3X6mnGoJ7f0zrPcIEcLtKOURPPNhETt1U27rtw2WsAqr1rW+apr
jeDMhGyktd61u2pf/dgboRgSPbKHgYk6ttdC2URLZhEd83bFb4ZMhzsDU/zjbLpP2RSiYb9qbm1J
fB35ybF9YcOJKhdhDPNP5gQoROPq86zlu12PkBdlK+9XeNX3GnZafradpuB3Iv8VWghM6gWzBU/L
g/2mtW5ajjO+RVo+HF2VxNRdqIpz4sZwAnoie7MC71NrWGSPz5aetqZBfUrRQnorvnUM6GxUuTEi
BeKHtgar5scxNrtbcs3mBxzVCVLCATCj21qIe1WON69vyaMIRi5rx3cusVMRT1fxFbvRqTHOBmkS
gqQR0DnmpEKiG9Sx62E6I4VKpwbvFJvTFUPD4IQoadQFpiMUw/gqAGi9dJIhhVroRF2vQtzUuzcd
rh8G7zjVGPMZi8Yjpulw01gLfMSRcyTFfYbmYU15oj6IlBSnh8FmjL3vufThAVV4dAhZkeEW3YB7
GlLFTUC2RtkcMqzP02YawzjkapXUX1Vu+0/TRGofiEVWw3hu3bNPKCErucCu937l5ulFxTiFSCXw
CkSe/vSqoJE9IkL1PjdkBO8rF1XoKoN89S6tkLQmGCflvmkVjR/pGybYYWvhymi8uN8nRW3dAzKK
ixN4lAC7rVd/w10hk3VuRqzb/TQ31yUZ2avW7l1zM6GYtbuz68+icv8osv+3G7ZL8q6gQHzrfmzR
rn3HP/u3/4/aOgGL55dt3R0RFd+3dH/+wF8tnfkb3RfDMmHiKEDrDwflr6YO9B6UH8vxYABcCQT/
aOqwIQSeIzS1wIN9x4/9s6nzf7MxKIAMsPnaaELZv9XU/Ywf8AIQLXCSPAuztbj6Hb4H9oSjQVB0
6TjHgYI23Ih0ySC21OHJkSAy7dkB8IRaaoegb9lZyMVPfs74NGjN6cUp/fqTpE/4YNpl+yGaCDD9
dWenPRDfQWQkf50wefr8gRDKOft+bDmD3leAYAN5TAdZvTkEq903ZlxqpQbIDqgw8z6oQW+3dQVw
5NePbQsNWvr+0dHEOYyZaMVNz3ev6IgfXptYsMPpk+aIZvdj0YQMasc+CS5ZoCp3Q7fg3QjTxw1m
a2PYJAMkV6lKPk9LuWDK0A4y3Lv2ibuuZSDW5+y2tddMNZX74F0daOgnnGOobWlWbdeUNzWrQ9Ze
ILiKwKKcbYu7WMxmvfaswVqbftPg5SSGb9P3C6n2dIpGg9kCaPSQuoKCCEV71abMqFq/OnvaRKeq
vH+MmZwCLdAeO6PTfruoYca6DrQND1Of+cFQymA97T33RObka0l5zEXh1iXblSnaGmyeOZ21wW82
ihDPxaJ55dr/t1BXoTMLUatwQ9MdaKdgeTUNGto/6IxpuAGh1X3wmeO2q8TM8fWaV9shb4Crg97n
HWtGdz8FIgFPJEYowK5oHoPeSB/Mljn/Bo+/ydjfxF1dIvlFcDMF27G3VbIb7MmfV0SjuI+Y9aJp
FV7tktBlu2c6/5g5EP6MI6MSLGmlKLvHCS5dvOZYbkMqdwvNtJWBKCUpM8MH67jU8VsZLXq9oky2
FhH1LBc51mssqizbaubVBweVHAlD7PpWo+N89NLZ35L4U95npZp2bdQIteod4q3l1U0ambTlYMjV
Tmmz6cyVuccqjwE1FsMuM5Nd0A0DSCYrYIGJYXUReOxROWBjXVIMrVTS3lvsdfUB5RMQobzG+JpA
kdt1Auoblx8GxTUugwmvrLbNku1jnUPDJ0nHt8JXOxXod8YYlUzuOfFXOZrDnXU14SalV3wVntTr
nAX0c+Mk1LwBmhKUBFcfLw51PL18957iyEjtW6barOLhjxfu+IQqIplqLi3uonVoh020RupcWiu/
7qDLpkDnfPR16V7QMfyeZUOhNSlxQVFWl9DQL20TqORtSHBUH1i4S5qZlpzIpV/sY878YPjo4nIO
bmZHVG/I3MgwCoN+UnwrGqN7L0OMAKykKPXXLgLlZNuxnDC2VejPF9qDckbYiD952w/GkjzNNjEW
hxlNCqpwglxZH5S4kzZgjaJaa19QT6PT0FlOs1MqerYM9hIQLa6CrrxR8ZjU8MXt6q2tPK0JmSGn
GKANjnPWZo+4IfVhGPP8M5Snd+nSk9HVV0D0DBHwaEo/NwpT50mFizVuQWCGQEQhEHzoEjel0EkG
/vqJQQgpv6hKE9T2n4hSqT6NA7wTKnAY8pt45Iu8bc1+Mla9OfVfTHYYJiIA5RDuh/WCwGg4k2+q
zQNnc8XbX49yGkleJ3oOse1SDWDLjG64xVywvDIooQBeZ6ON8BRKAFuIZcNNYM1vTt8rDCn+H74U
0mK1WYWoqgjrSkXLOnwsoTFgajGQ+7/1c1fw0UGGdK50p0lJyl/MLJAGdOw7NKbSUOjsfJHfzddm
lT0Lu9vWSqcHTOriTl4bW6iSzIGu7W55bX1RZQ6kM+uG2Lw2x4WhaJTHa9MsdP9cXltpeW2rFxv/
6KbU3TY5XjTevDg04QwZNPDg2pz310Y91j17pbv3+NrI+7qnD31Tc1aBgWdjW31pre7Fnkb3OARB
6uwtPRnor0MCA+3KsIdoyPDAug4ShJ4pSD1dsKBFXGJ7wLNsGHN5E+s5hMjQzayo8Zx3EDUuAzwm
87uK/hg3mrGsc8uZbiQOkDMDn5hxvB54dA07yqnxa2fr64mIfZ2NCLF49NNMTLLr8ATvCaPF60jF
uo5X0PwyaumvY5f5OoLBr804xrqOZjjHozVyN7mbtGe51e7l6z36f4Xjv1DmA7GQvywcL29J+fX7
yvHPn/izcnTd3wLwziz5hOMSqBIwj/+zciS3hVk3MTyOpStAbW39y7/q/SZhXgq4VUzBbWH+s3BE
lG862FqhPUPjZmXg/TuF4891Iypm+P/8HhDNbANcvSz4jrI5B1huu9lYDuxP52DrzCCC7n5dgP39
IUgYguBJRDF/MlX0jw8ByDEHzUyYwRDanKQ++W8AMlxe0n/sYP6r5cHPRZ7346Pov+K7J6LCYJqc
mEfxys+t8bmavnbOH63TD4aG7w0M/+qJsLz5/iFQWksuRh4CZJ1nPkCBbpYvv34W+lf8UKrCnKXB
cAOJWtcX3k8P4TKuKwciJA+j9JvVYATROqmrB6gle6rmYv/rR/vbE7o+2tXdQXHsXmN7vnvNvMmZ
iCn1FILFCIJHyz8JcI5tHtX55t9/KEvYGOh0EyB/3uyYrVtPYrJ4YrEfPU+ppNJMB+tidnjZfv1Q
fzNk86ws4WEW1+YVwG8/vk1W5pgzCYnqUCL1uMnIDDqQWUFU6rQQrRdNxR4m2PzvfjZ4UGFhSMFL
w17r5wd1ktASBl7Qw5zxKgrJP66CX0PZ9q8amr8tyfRDYTXHf4DFR/4tu8s26qWuDXVAwYlkIg8N
+KeNnx4zwQoEz1hzX88W5Kp8iS99jjT816+v/r7+/BkV2IxkoKPYhPnT95nMhTqGnNQe/ALcN3pp
iQx/fPn1g/zcMUINCOjksB2Z+ojU4L7vv2uThY6yC4Q6dF1j7T2qXShRnh3e5oJkn2UWNEp9MG0r
xfLj1w8N4vnvX0OKC8mj0u1LfEw/PcU2N/CVI/AD9lmq98pzUQUmJvhtb+Tr74QY63EoE6OSo2xE
09DvptbmtUgna0/k7LgnTFK9inixrXWyEESpOu9BOMXgbBjojzeBcpMddCbiaToUdhak6SfmeuA4
dTAIdh0EmF7qpefW/X/cncly3Eq2Zf+l5ngGR49BTaJFBHuxkzSBURKF3tE52q+vBd58ZVIwHlmZ
wxrcNLtpuvIA4HC4n7P32r279srqO+ZRLMlei6Ve9EGH+o52C4nAGs2pTaa58VVegc7NasBJDoeJ
C6fp0kOs5+4FgkHnm1a47GNje4oJEtKcCzo005p4l3ZLhDgO1qjomDGjAnkHIvSy85HwgWHNNwBG
0cq79U/HKNxjmBTkh2qciFt3LvaW0V6SJqkeRzlZd0PYib3Wufm2NJv0YBV6tso7Ye3ajMXMRQBy
5elZsU0hM69YDfovJki1vZV56hJpxrQt4d0RCwA75yqEphCUyDXWUdnFd2HaDz99hV+4n82uJV5p
dJHh0e3Ukvl1kE74Na4we25gCc+PzuDYJvZd8do0o5av7dZSv7XaGuP1mObqidOpF+9GR1l3Pc26
tbvcYNsSVyUHE0wyaiEITBAUiypUgO1CU9HfgK0Q2hIUFr+P1FtOcVRVU+06jaxX1VJpHSa1OMDG
R2s2Xn3p299Gw47WVqclX1U2psCxam5JEzOj5WC9zuTC+nAN6zlIa17dNK94CHY4q6dO5+8rRn5H
injjWPh2+5QscfOoQ92LgnLBVVUMIWCdhoYvVda7ITdIgJXA3PwG8xydIn3PXnHOOAY7EQWCKWS7
OekpgQtkyNhEiIAMchjAmDlt1qnaD4WXBamd9vcgw7t7VYX84cZfIHgYfAl6hUmh5yGpbCyCbPxJ
HmULbd14PrcTM54IN0VTGRuD/cu1Gvw0PaSGUyDhqZMaLUsiUDpRCPpCiy+6m6JEv0/Rr4N/GRL7
Bu1Ruo+jSN8Lqwl/IAujwTQC0rk2Bh+NVBa7Lsg0ITm8h6F1M8WNsUGn5KzRfVnHqWrqy1pzxRcI
Yf3B8SvnNtRMkFBVbN66AOEuB8t+CosazSv9IIrqdq8HXVw7Bv4nMo87pNPjOkvi8IfCpk1veijV
ytQ6bV9OsffbSjPvtxaFat1iYb5oOOD/iH1dbKOutsAmkEGAt1khkC795X6EekajZh6x5bXcybYf
Sb0DlRSIFsBWgY7uMo8i60HHTLsNJw8ftanZYu+RFr9HdTh89Yywp71ox3d6UetBnxi5s0H1lawx
+VFTKIj8+CmyVh3roiuuO041Lw3EdkSBkX9DA9J8yH1F1D0nB86htbAvBiOabs0+IzKsarxbzlHy
ZYrt4a6ZIPOPmLauR6iLl2J0p+U4b19kFWB6UdtkCUzKua9ojW3UPHGkJeuaHCadDA0UaMvilRuh
umtmneQ6OAaZuyLT2d4knokCMhz03xZGKfhxeRnf1wTQ/bJnpw1EzyKUQaDfMzXszUgZEbVm1e5B
88BhaCtyitnZ0eDRrZpAZoc+XFzW8cNsFPRAIlifyKXCGJ+U79IAduV85NdGDwaE4SOIzPoCjce0
zu0Qx0rqSB1LeJH6B6q59o4+iLNxrcg/2K1f7ijAYTnRFz1FnCUFF2AyJ7ylcspOnRitqWkOGuA2
LqP2ph1tBW3rhl1IY19Hud6DU0aeULLTMGgb3Eq+xj+GWimWsT67y0vL28epPq0Vq8D3JPHnLfmB
boBzu391dThoyHDtCzK65H4oEySTHhHJL21Wih+c+cBk534S/iZzNn+aWvz1CIqwaix/3JCOjWAf
Ndk0RqgbZ9sdboY5HW9aj2Bs8hNh9DOH32gn3sYSOCZXb0MmMwnydOspFHfTUpcwc6X/yJBcPruo
vTe9HfNHrcbUUOqSHiArOjIGJqovlhzDb6kVl099UhT7t4wE7DQhcbBCX1zzxXqodeIZxi47OmX3
gspJHTwIeBmt3dTekNqnBzQI0R9OTX/tK7xr/6DwG+wTVw40syuhLa6DSZRjgEWQrqJXCRSN2CMA
QXt9cUxbAQrbLR3VYe8izQ2HDj9YHyF4+0nm3As0CF9V289krLU8OhLKgUBXHozuYWHvYxJg2CQj
424E2bYSDVYyOjraQ5U4w7DUhBRkDHjW1ImaQ5eb8S+f6KVjlqfOfdE49kUoSp9wOqIV8YVQD6vZ
+O05EWKSqbTsacALspeydu4X9vjWtghy8GhM7qMMjwi5HXNAiZWiS0oc9ABEc2sK6Nal39JJIkrw
1mwm60UUdb6VFROcLmF2xGBKXJpuqW1BAu5ryjf8QJZv+4A/bn5iIkW3TqxFNyrt/HsJSmvtWC3G
taaSe68xna+KQyEK8cQIgblL9sRtIf29EWrjLYhvtPqa3r/25Gc9Yk4OEX5QiNwsQX//PKdMjeHv
CbrndrTMYadblbi2k5yUtTBjkaEafExzo9tq9ph8k13r3fllP4L46uxns5us577RrOfUrqZrvlTO
DsmjtpmSRNtolRUHboi/a4605ksZF3ILXrLYgiAar9/uurJJpyhbz7sxFtqGlCUfvja9sJtSIO2G
Mi479AclE3E3goC4QCost9JP1aGYlAn8BrMMVWFwweg3pmNnTPlN6InoIOhfZ+u3uTx7Yr7zNQvX
HVWCixn+wbXbynBb5G6EeR2xwop8hOxGr9PiADfU+eqHlJBUqFs2VAw+hrQ2efxzPV9lbTlfCVrv
FCJ9k0znKYtZAoX4EmvJjyabxmsWhelgVKG8cZsZOmNpw1qYSBV50mnB2isJdxfbzdTuXEFEb+4j
Pu4yN72BgkHj1jQy3LkFIN2ByASBqQovSzXe1G7LpxstvNq7JIiTPjoXbrYxCMHAtSVif8u3qT/4
DYoN5NptdTWoXApYcLJ86MpR7joWHPZA0kVLZhnqpqYZvW46UvWiOJ+vpkFUR9K2F62w0CYISlJ7
+CeWySt6dswWBrW8Z9nQ31IXlI2kG0cBNjmvX+rU1ZIiIWT+pHdMp6Ka2Vb7ifihR2A9rQK1mzUM
xAP4ntEByixJXbQIkYxbXswE/QfZC8N8R6Kxe3QGa9p6ampgyRg9GeNTX9XocBwavKpf+kuyNec7
Hc9rDOoqB18a8i8PmBEjPEQU6i47paXrkD96m5o05UEs1WFASdPaJ7o5H+iuO/uhTvbLFd24MWL5
2bfja1IxiGbokuLeGLMGlGMqt3MVa3sO2XjsTRt/9CQn3DmGrO/N3iTcOUu0iyjsbzsEi5giKegO
qfbqkcW0E5b8anZ41CAKhpdcBuHxesnKaUdtsyNHadgS1GrswzDpMSmH6gJ8TNOt81p3t+wQ42M1
25BM4unWqJZqcOsUP12p/Wxn+2Y0WnNnjEOx7NvqA+IHcubn5GEoYygDHt5CVitU14RjCN2Smyjk
nOVn3ldNms1apSaaajKCwo03RBGikkZtdE9pB2lXYL9cpNjYrjBVrjrDsVix5dVYhVeVjCMIfRGW
+IQo3BVtqG4/z2n8Pep6O8hGkc+rqRv77YjR+L6CuIDTLdJrZGJGfBGnTnUrZVZ91SKsmHzV8fIC
N/5Z9a5z7wo6XJscE+Kh66f5aCQ+jni804EWo6UkubW2bi2vmW/TyGnuYcWS51l07rRG90Y+4+w4
2xEuwTrEDb/PIWbtML5SFtPz5IiwcsK3owgdaubiQuBWC1BB2n6zGcoIx/LOQ/CdXbTyB9t78Y2o
Mu9K+B0YzMawy7u+TvFJGWU33IbzVB7UFPv7VIvbnfI6XsWi0MEJoSpChNHwFDeIS35YsYULqY/n
6cbCVnwniancAcdtvjkN+ytkkLFxPQGr/YYe0z3CipTP4eTq4aqWnfmkL19IRxSI5mMvDkYpu4s4
8SzC3lv1jHTQDkZVD8fcjvqLQZuyn2DeyR6KBQ+37BSYaLcqfhWtq0PJENZL26YluiFkn0eRGdYl
KD7KHBoHbLpLEqtG0kLJnTRlPZp0ooCV2yJbEFLxdalNr1nvel+N0pWYMGdvHUUE19ptnsLlpgXK
Hm/mU0joULfqQAdtnKlhJUvzNEirPieKzNV5vHxtjxOnik2JU59+gbeJ2mreoJN5IEQTCJeissQq
v6J46m2kDzM3E9VzY6bmJnNI3V0h8K/R67Ez3pe+UzyUWVFeqjk3Dg3gc8l+vpjCCPlRVnmdFpgt
YbYBxyVHe51UDlBraOyD6BzvSWn4PTh3entOMUAntCR8zE1NXfJRzG/ZKqYvozDLx7TO6q9VV43u
vtKQ6awSIOoZEsqF4wN7y+AwpeSdZYpB4n1Kxu9Z40AN7MC6H3uje40Gb6AH6YlLMnrlhcnO9qes
4PVMNGI3jpZdzyU+I+QjGs3pzK3XA4/qMuurISbxqFLXVOSi65TNEJHXEB+2nmfXV5AJgL02qQGY
wv2lpI6SjG8a6DSERQstdD5CH+puMwTlGyvK46exaU0+XK7Ygh0P79rKLH9Qj/pupe3w3ZrG+7kj
9GTnOkiCNDmIfVoTaqsqzcQt3eX3HqY5tY7juvli6zlGwtBpd07c6cix+w4jSWwhayutfRw7dOUz
UGxwPDsXwrjP2TQ1oh9IxFu4+nqJ+ktDSxyN7gNHHb4nkV98D4mF2VSR/2yN1nCh4znZ87cYmCJr
dQ+x9pebe81NT3XpRwRcY9dnSBO5b1N65fvzsO8blztWet4eLfXYUF/hppih+wzT33pI+hJhcJfw
wjY4m2A19OsJdMfO1uy9MmPjljPIEwtydjNWs3Okf02/Z1AOIBcZvpR+Rk+oGTzqdWAW8Fwh5IV+
gJG4YXeL/L1eY5aWXyQCYHa4mLSLQh2UNxV3YaI5ty4gGwTdjnEt4t78LSIp12U6wI2n13YMJY5u
JBXxZW5n9r1F0quM1tMcat23VKL+jWkGFiy32x6RwmZWo35H6IQT5EMFnVVl5Z5OdX6vWHEX32C1
9f1e3zd59xB1MLhGV3eOZlROezU032NfugGBF3yx2AgeWUi1oDD9/pKtnHscrCK6pneesf8l47uD
A4JhU1U/zDqlB+qpruYIUMfZj5Jeun4hqi68QFeQbqiWDEy21njoDG3Ef4jfzL9O8ibCkwasASZl
U1b2rpbUc9dAkf1rOTX5gyxgaBf25O9jmMV46fziwTFa2EGqQx3GVqWpzeaoz8NP8iSKI37DApa1
zSGp7lE/iCwlG90X6I5FoCFuPvL+IwconKciYm9shWUUsCuERJ54P1si8TbI9EN8iXxfp2EIaAW+
uBxBxnS+tBsd62LuUDmjTKR1nvhp+flwYS0xx05NQg3+guYmCkXQQyX6HTumfWvrmnHXjv7verS0
p4hX79Ew3IY4h7akge83Y7gBhrzgMu1yr/tjh5q8lhtHRZiEIeV8koB3rpCOOAmLObqCRdj0dw3W
t61RRIbZLAe0aVuZ0Cw501GEcjUdXp9JGAfBQSrcflx/fV98pfRrYQGxKHGjjVrkPH90JczWd0o3
YVi3JjJKFP2jQx5PEDkcqn3UGf9B5d6k2UI+pLfAXE8qzVFT60LzJoZrlf1QG/Wegwfi3dDVP2m3
iOWGnVbOcfEYFrt/D5/L6Q2d538VtZ25G362b0X6Kex+jYoivQZZFISqo+8diO0vcbgcZAfKgB/f
3XPVe8C3Dr4yE53Yu+6BayoCffUmMN3IurOR1VxVEeXZj0c511niES6lc53G51uB/Y9naJFn1VkF
PZi3dgjGd8qgPqBvYaXVJ8/v3AVZwG0Q0lERRG7393TJxk7iixnoLA0EthhD+Z3M0u8fX85nY5y0
lBJbGZidmSPCUGB78e55xT8BUf9jc/Hs5GD+YShhKtoQiv++DrQI3tAYqgkqvptXUacbR6NE8TL3
Q/I11mi11LLHGtxQ4kUTqx+8ED7vx9f5/tUzdR3Wssf753NsOul7WHYFP7MkuzMC9I9kSTlrYuTr
y1xL60NW+XLz8Xjv7yvjwW5GHmgbwj199+A/6d5UmXVQyJHF0ZmQ0wn3k2Xs/Vw06aFjtqOsBATv
nfgwEgooZV6DmAMficQQjEbVX7opddSPL+fMSFyEB0oPIbRpuSfTxEfgNk+TVwYsbZLubXsB3vih
atKnj8c585jgpxu64Fmxcr0hqf94u5yqyAgZcctgTkBn5S+aB34hk+uEqMuPR3rvyPOQrv4x1And
mvOxgzSMobrep2gorWgFP/kflG23rXs5P042jWmskGGzqS3lbfSmDr+hhtW2ajYURAyX4mTLEb5o
TIpvhTVnR9tLK1xtULNxWc9XYc4e1KqlueoiKtXs6dQ2N2ArH92eZEOyGKiekdSUrznioxJykvmT
C7XQ756szbQy6SngvyS/wj792OULdc2XHfe0jdWzX0j9WvTel8lxkpcC5dexy3N6NzmxoWMWQb/H
iwxO4uA4hAKBhVmLGvqN0T0WIZsyhYhSlgWpgR5JyRxqizKrty2CLNSuMBzCJjWh/g8lWszecI9a
qnXr0SqtgL7asFHKM+C+ZemG8oF7mVloGdIMKdLIer3xI9AUbgQjiCv0uVuEbqz8udV/uIj8P/lo
nZlrhk8PFAWLDd3cXTYJf8y1sOih/zUT9yXV2ste+OaBpz4GUdogrQIXNgQfT7n3nV/TRKJIWDOa
YSTSJ9/jurTgIhFLBb9J4aJKSvKBEdtfOmal9shC1WVM2ecBN1x08fHIZ15f2tr64r71wFmdvr5N
NPVa3Dky4Ig9fe1h4X5HpSUebOGkrx8PdeYiaS6zGnHO4p/THjo9Gfa6UyeDom+oyOLEBQlQdWCm
U9kcHBKavXVLcw+RsEHB8OPBz1wn+6olXw/JH1KCky+NC0WXI6+UQRuSqFkPpD2iUVyTU9588j15
P5K1LFLCRWHk+vZid/5z8nD+bCMSL/PA8LznaSJ23SBdmrfINP/tacp2A8EUwihkGLpzck0VrtQu
6ju4OqIDt+lQ9DHTm2GwnR2H3l//7g20dGhf7G/wY9NKPpmiUZJX0sqB+NDSNwOtmgjTIp1OrFsg
pO0n9/D9C8hgbG3YGtg0004/XzV96djpCq5Msx5iU3uuZ+9XOpoP0eB8sgdZ3uW/96cMhT7H4dJY
8+2T6yrMOJmkRhPYrPKtSZ3GL0mmdnPAIrPswRhASfr4Tp4f0Wcr6i8COEwQf00Qzapcr1xGrEV/
zPzqpZzEg9lk9aqLScqJO+Py4wHPzUg23ubbroMRT2ak3XLuUMD0Aq3rjhOJWJaV3SSO/skw7zc2
lm6T+ozZwGX3caqs6j19TBL+atA1hvaguRjBYNhp248v5v0qwijwZLC0L/aKBVvw5+sFfW2UaSoA
15qcpjllrvO0++1K5y6tFc08MiEIPvhklTTefykZlYXDtYkEZrU8GTUkjs/n2JcFvo15bsgBgK1l
lc1Xo0+HcJY00FrgLMYKbiJwbqzW4EvRbe/VWEeHnB7WbmBbNE/2YgzIMnAnFZuDZVtQwze7QJLj
PPrG4ASExtmf/PqzD8bzl8MPqR2YQP++ZbRD45yqah5QGZPbdPLTozZSY/n4wZydZegqXV+Aeni3
5Sysms9IVOYBjgUcZ2Uf6Jl48Fz12a7lzAtrQxpHVUk2KmfYv6+G2GdTVrVkIRorkyZ6GON+18fd
x1dzbgVy2AJ40EMdVF/v7plujPBEMoQLLRJnHDE05IkUbtv8R5/iYvt4uHM3j0vCbOVC4gBZ/fdF
eWjnMRXwik5Z+Gu5d03i3BVN+PzxMOdengU04SLJ5WBwOo3HNoMiU/Ly5Int3WZL0KAI7V8Uestd
E9nezyGv0gPimfaTT9W5NQ+tqsW+Gsngu0MPZRs9Nq0+CyLk8UpqL3NKWHn6VKXzPcv1J6Odm/Ac
ewwmOyfLd2rBnGt0narNgiqqsn3h2MA+jFTbfHwz3+JtTz8d3ERi7i1hInM+WVf9zhjBOtZZ4HWD
/pTEernTUByvwtTsc/oC7vCYCq9cd6Xqb+pJZvC+XHMfe+jJ5qlyaGql1UbUIaCDwaMX3HXpZ6db
cfbO45Bb3kwTMMvJ69KErW4PRcHXZrQoUar6RSi/XKNoaQ+J6z13YGDXbhVTQJXgELOhJwPbL7/H
dJNnQORETBTWgSqSTzosYFM/5jo+vpFn3jX6aWxBXRcYO/vDvyd/7vIbkpHtNrTvX9Us1E6vEHKF
Ob3z6eXjsc7cDvGmb8SVh1L2dBtjCJgZlqfY2ofil07BAbq0/tJOAMVckmG2aIbVJzuMMy+dEHQL
2NHwxXq3xe6bfCKWtOTyUvtrnETa2kAxQA21mVemMdWPdTPUGzrBffDvXyvEVX+pSLFBPF0pLc1H
6uS1ZcBZ7bp2IKU6TY4lzYlWcRY9TWSPfLK1Ofck2bJRBjAEp1/r5EnyrgyqtYiT13QYu7AN6IjC
Wr8bar8ICoeD9MdXeGbZ5ALZQy1xVGwWT97AIgRhmpTc2rGPkHBbzbDRCSjdmKjx/pOhfN0nUZsN
o3f6Ea1cK1GF5Igm/FLe4uoBPOcq5yLphPhk+To3R01eqMWHsEiejb/fhx45jpypDARt0T10cflq
2/VDDjeZyNb6DlC7+ve/PiwQumHYoJEorpw8NjFS5zfaWQazASNQd4cvTddsKuoAnwx0ZmGmpK6D
PafyjI1jeZ5/HKyreUB9EnIEzCMbm9m49+b64ZMpYfJ3nKzKf41xMid8LQWxZzEGYmKxwhFfHVu7
tb8YnROS2YU9M4nwRdpDA6KUeMfHcmjgBtj0ibDsZhT/Om3byIQuE2h5UP1CbGFC5sQdquY4W1Z8
Z/gRPvmpD7+FlS73RYswhNMtVO8+Cg+x7aHW1sfxFq4dOkEoAeLL7BcIPaRos90S1LfX+zoknQvZ
2g1GeHaHZZKsJJyVm3h0471o2umQgze87s24uOpBHxMP6j8kZdauucMZPG3qpqsYkVKAMAq49DBX
27CLbYSK2XBZWpBzhyTtdh/f3nNzk6+4K5gnJn2Kk7np1G2tJoe5iUTxpR7ViwcH0TK1nQnTMtSg
v3w83rk3nD03mz3K9yjjT8YDQijJ3JpkgD9yqTldk95yGJT8ZPP63l9gUStF4c/eZDGtnwxjESxv
NqMvAwSsd1WVLMZJ72edPdIAu6IZTtKA8T1q5CdHJvP8uFRpuaMcrk83ZH5V1KBlbGoi5TR/jUcd
l1BjaXeI7PWcBGafM05tF+FWZX1NpicCJaKJWMhroz/YKIztdNAOpt5pO0HIyDpElMaEq/YYP+ie
+ekPWwB4GUZkSJk7g4NVgqQ8KESbSIT3Rma1a2+2a1iTKYHTaq6ibcrv2ai8ekVvLm7TNzjIONQ7
HF38/8Vsr+NWpVtXA95dm/Znj+LcE3dM5phPG44HstyyP9aIRG/tQma9DHT1AlJ1gdrq+0wAT/14
Zp1bi/4Y53RjhAu1yEsS6QPPXkgU1BvWoNK2Hw9y7oPomC6nVXJmQGYtP+KPi9FrTKw1oN6AppO3
xpG74jD+XGYQjeJ2+sR0dnawJY2RjS/uttNDhNOwGMmcd0WLHeBs5bzvrWqH+gwdp0o+uX3nFgKH
sj9fCyx77za/+TSZToqCAw5rc2e0LjlK4fQM5vNVJZi3YueTOynOzQuXzhoHWLxU7mmfZm6rnPvL
Pi0d8xiHiSGO3twMB4Na/KY0tRiMV63WY+WbXxKyeYMpQlAdlQkZEhHQAJ+QgEcXOwLS8DACu/vx
kz7781gQKSNRv8XH8/eThi7Rarjsi2Coq1fTj55wxt+/5ab/B+OAsERkj3vt3eag7bUprtACBZxE
K6o56kWSML0pu+aTD+m5bSvFKdxr+vI/7sl7aA4+6nF0X4FCrx63yOsGedeUNqAdcZOX9UOR+58U
Ks5N4D+GPN2wpjOBBKWtFwEcxj0YrFffyhHWOsem7D85c5jn5i8nUppkbB85C5+ci9QCi5pHt2CZ
MabvKq5+DxDo1/DxPVKm02itVVoCZFGX26RedM6aWFRhDYIjiP7PFkWV57D22qAzUEvjqMHjEKvm
Ppp9qMmSyEhC+7zd6A7ek2ezahJe1iLW0NoRlOBS2iyN3/pgIKUn4GKsdKis3TWexGoLPek18fph
VUxmsiUw0LivEHzysTfsT2btubvgL05dShzM29MGLMyCtpVoo4O5mg+zmgVB6tazXdkX1Exx9IP5
/nj6nnvEiysEx6BLsfX0tlepiKaazVCQ1L6GJqdrSIvi9LsxiYAiWW/Rw3484plL5Lu+uI19/D/v
Tpe+M3kFuQJ5QLS8tY2bybmSMTu0KS3b57QRM4TP+MfHY77pNU42oUh+DG4qryhH25PZFZFrSmc2
LwKnmP11PHTOvRWLntTuyb4Ahpw/VUYBKNtCKfYmj/ZichGLblZbwkT8vTYMKHU/+VFnipioEqj6
LKu2++7sG432DEOZN7qdQ2R0JnkNiOHMXRs2S8KEA1ndsVFt2fnWhzhJyGKbofq2/pV39z+2/c0z
a+XiC0eOQVQyjTbj77VSRxrhFCop8C2nJq2RRVOdmPl8h65T2hc8LvegUpSQ2DuICcopIguNlMNV
QvjA7WAO+m6aQv1rbLHxNtSsf2VbLPfxwJTCrZHtEBTZe+TArxNCUJbsfgvqJ96iU7Q2DfFOQezU
7naMO3fjRRdGmZn3mSnHG15bDDCkPc7Psdf5x1x3v+ndlH1yMD93/XTA8KC7S4f+tHBEuS3NW2Vy
/Xk23sf4c4MRSMhzIrR49/FDPzcUok+0BrjR+WycbEBoOtU1lMQi8EtY1lXtLU6iscqOfpxHzx+P
9fbcTmf9Uv01Ob3yGTw9/kvNybuhSDgc9DZIGrCehC3NsyX2YVX2G0le2IUo9fBWjcZwDYEmujMU
aQnERFb7SurN4e0H/Vv4hv83qNdDiea1+P+F+2XSM+Od+r8ogQUY/S8Q9EKk/t//6+kVuKBUfwIc
/vXf/AvgAKXBYoUgL1wXbwwv1pL/BjgQkEiBR1/e3jcwMyP9N8HB/i9gB8sG1OXFtsxFl/QvnrNl
/Be7ooUSsVAR6KX8WwSHZdb+MdEoHMAj8ykXUiGhbX7aSvZE380J2bkB7mC8q3HsrWAsmZ8smO92
QGznuMY3TASKLv2kLBJ2fW2YZRRiPebgxTfex5o2hiWBb/14i0IEwA+oKRixM1ixP57H7T/X8id3
4TQ2EpUaigwHHzg5g5y3TxsQdAKJpyFPOIhIfcx2bkOiYj8KxrX17EsqgAmh/a38VSsTc9POU/I6
sh3HZdA4JjxcsZgK0mSveoQyZq3Vxy4rY3xxqGLXaR7aBNo21baNovmqa93wS4FQfPMfXARKGmRV
hI4wkU7uoN5YlVmQjhjUgDO3aD3mHSkBFoXnYXqsTehnochcc6sV0+K5GKtvA9y0jV1GE78v8cdb
B7rw7WJ5Wun9nOzhfs07bH3AZPw+27FJEg9F0qndJGdFikchk/3H1/BuAeU58KVaqmKIjt7Vz1vL
7LoJCzzln2rYNPqcr8a+gSUNCvnjkd5tjZaR2KHYFntSm03S319FG/gt0ERG6lG6BZPCbKMcrz4S
yVnf6XZU/LvFOMaj3+Sh4qcp8+7EYohWykLLGS9KmjtWFNi7eGg/KXGcuX/oIdApUqSlJ3OqMfIb
losc12zQQG8GNJn+rnA5BVnrPXx8+95wGn8sCssbgw4CbR0vHhyM00UhjahZDczBwCA0+DC7rUFk
B3NmmnhwU2Gi7kNV0NKaVMBMe9u75ESZ4Z4U4Ze4k/NFQZ0VT/DijnR6Nh4VwRL9qhcYFaMFK1jm
MKAT5uZjH4GDXpvkt2kgPYYZp2jEIGNlEb/hGYR4GE77jG03CT6+yH+K9n9dJe1BBJMUqzi2+L69
bHf/qCgsWKsunpuRboIpwDOXw8GNwvZADh+lxaw1Vo5Z/h7zRtvYGWkhTN40yAsKgb2o1C4D0nAN
6xVPCCmomxpr8LMwsuTa9ifru0un6NmunW0jBuNe+PStIZfm5JE4Yf5g6Jm/w7BCFaiPx8c4ksZG
Rsm0Rxsm0j76znIGd0TZNrhPw8a7XZYXfF3iAKaAsTUjJwk03Cko0JNiGxvsC1qz9B6a0MY1r6XF
RpJxruCVhD9joPnros2iA8e0/qYi6A02DLzTy8Kr830fLjvVHsa3Y6HjdzqHNCYF8j3ImjJ7Uq3E
EgZkWBaTdmP71fRrmiZip/JYbaNMmXs7xL6xSh1AD8SSOBvNnVEGx6b+gCKpeCYNM/tdibiEA6Dj
p1n7TSxDKNS6CXAtHr+6wAo3bgGsw/b9/JBO6Xg5k3J24+QZXnEvkf7KLJLhpoNL/UMSm/qi18RJ
jn66jsPsVcs074roOwD8UQKi0G2OReHwqx1RbzPDP4y9Jq/LsCKiZpSDWkUwDleIKvZ6lV4u93NT
5nTu6H9CUC2paovC/GbHzrAC+aAfoqwoLq2wmh61PAM4JsDuXVPZDnNsS7EBc5cTKtk3JkFLvnfo
Zst8aTCm3IJHb+UBT7K/xkJpPmTWTsYVM6JHCtjVpvlS1k25y2JD25jV6FF5NmTzKCfiLUscQTya
ccmTwTgwTN0ujs07Iyy6LWtbf1A4D4mrGpUHEcL4BTGj2DSOqO4wM1wlmP7JrcHy10d5t+nCbKlv
g8trdP1ISA2dicgifMsfI5y90RWHiO8xdIcgVkr/EsKe3aaN8wz9+sUopNwMWGPXWur4T4rd6M5s
GnHpjt1wlHbmrwiKGtdAawkkSGsNlyQOMhcvGktUBxd/if6x0nK80LzI32dEnqwJ+wm/EfQ08WPG
cBdTPF3H2WIKbPS6Z3L1g7vhM0RoQeQ5cpMOSbLpIsfYNy1ZofZMSpjSSsxxoz29pEOrQ4trXdCN
E1qXFcTv6mZmd8wy1Yr6YpqEdYjlmAfCTPTALXldHG0qoWn4NYwLjBDgylcxKXirWYH6HfVU/mx6
K/qahqL75WCA/Wr2zXAsPK8/ZD1hu31U4WAjrWpPCGVI7LreHzrB+4URjoQbinqRudJTtxUHmfju
XNOdRutZ6FGxUIqhfPS63CH+iQ/QcKqthbl/nU4wP32zS/aCxsBlMpZ4lfRCEULPvy60i2qTOGN9
BHeabXDET3vNQTBTt7QxgJxMv3vVDOW1PkX5hoZKj/wbjHBTGtnm7ZScRHw5xMyJwtC7aqv3QGm4
4uboOsrYDvRYyM3Sp4tZ6e3z7A/WDYp4/XpKdDxvWYgudaVz/ngFcEpabg5LZwJl+TN2x2gHus99
ekMjSk7ND9r/Ye9MtiNHrmz7K2+9OXKhbwZv4vCG7nR2TgaD5ASLwYhAbzBDb/j62mCmpFRmSSrV
rNarmVKZJL0BDPeee+4+JvVF1cjsrmQSHicYgHlegPz02a/j1YEiwaaFBkiGgl9eAIGrl4LE1G3J
js02N6gLDY9c36pkXX9yVblnL2t4bvquOqqcBOvFyMyrqnA5e9qVlSwpv3yCnE5L5PK6tCNvnYxN
4KBreXJNTmDFrMmU26JZV5PwzZKilGd3cNOnrTc49k5hON6hmKZ3C/vqJMi5Cz9jRxUcR3x8wEcc
Xkk5ROZhHDFIJQZpFJveYRgQ92Xh7Zwo8+4sDgZyr7v8IHt7uSJ3rIoBoicnahUvlgmBndSR7Wn0
uV4tJ9M/qYHH53xsOdcbW50KfGUVUzTXPliAOw6JMLzrvm2Mi+YPZFuj4sm7JIHiZcPeeJtY2yUV
zM/6ixlI/hcGzUtr2mqLGmO9MAm67krgKMGomkMHr2Viadd0rr3ZPPSKQwFegcNwTBFzlqn5WJf2
Kt4VkAidJNs1BJ7BqLbjqUf59srJIznbvG8TEY3AUNPx0MpRZwc+/qD8aAGPZee2q9XI1ez1m34W
wGH7GlhR69htco6SGmKoO+suJZjBdrPbebLnevlvNKz/hVb0v9bT/g8CVTuYSil3/3HD+sjqbfZ/
tu9l02P4+PGZjHT8/v/+728/+FvXGhEaxDqJz4aAA3ANVNdfu1YMJr8ADmPJAxghTuDVlvu3rvXT
jAkymfb0D00r1zeuBX8d3tDa/lshRJ/s7d+3rRiCqVDX8s1HJKEh+kPtFpmd6JNEGddQSceHkB2C
3eKyWFtXS7kLViu0Ce/+wv4BRM4G/LE1apgtVphtU7LTYWT59bXTscNnqT68KilPPdxG5IEJJOs4
8EW2K/v0kkrnyi2ZmCXuikN2xfM0lPeTTV4oATpkPZc8ODB4E+jXudEG43+16dzSJFXNrexHKhbg
tpKI+sVJ61sXS9ATia3Zpgt6d6uHtvpuGsNGhyTTUM/jUYd0lQwPOtL9pWj8NQqNeDTSG4f6koOQ
JR075IFGqk0PEqlmC5jUbyK+xXzWgD+ONYC6XQGR+QQFKSIsbXCw/jeLv035OG9bH9PnBsRBQgc8
yxqslnLIqzCFZs7emjtTkr8rPeWdzTa8qir7Ik1WBp0+sm7q0roWyVxvixkEchryxCizElyDCpN9
b8oaqJjb7EJhtRSe5bTJJxZSWe6P+bJqninEwgeeEZxqqDkAEgiQHtxA7mc7JW95Fo7lwdqCMg16
7lF5Qm0nnT1H2rK/TLXnH3Fdja/CYoc8Ay20NQH4JreSoAgTrFmWw0RRRmaZ1yBHnOVRtE7Jkz2f
mtD4KKvZChbg/YOx7Ae/K6jmRdMtsemxMAANgoNw03uFvihHhLcReRwGVgXFilQLJ3c61HZHqmPg
zQeiDAV5JRY5b3MNRNoIenLXdG7U1Nvh0jnjpk9z70wQD2nCFlnIYEcWsk3ZjK7X/CW3vDVIK5dw
SgheT5dDI9ulbW+aosqNDKYD68OBx1Lx2AVRLMmiXsQpSETvt6+NnXiXdoF4RenCqjcOjU0LB6yY
HpK+rA9CkYec3vFIYgtiD43CHJaDSzJxf4k6bWv/CyGWnflojNoPqZV5EtdRbK/4NnvPulA457wA
n8nRfDPlQku1hz4leEZUpvW1CeX8QOjQgrBbCGXv7dwqIEMYLJMwVWHBxBi6LtrlbEI8A01YF52X
gOX83q/nm5KGkwotUlBLUrWQn2AnF1FlBqV34Cko0kQZPcNIK+tbo9C2FddSE5I5Tv64r4xgAv+l
skaAURDipAsruyL8BJl6CZw0nsJBA1LOgnTjkDv7tcyrCNaF8p03kl/sLenG6Z3KtLrzVR7u+lEC
acssMR14AebNwqx8V6fK3M2iArWshbz3u1Y8R7Ni5SBQFmNOVxcdJWVktUe7KLCnhH5yDGVg4IHp
kGg3aT97W4vk62VjWuRV9SPzqU3hwUjdWGuvkJldfxnGQNyzGpKCUyE32Bq9u4ie7ymp5HwtK8lo
Shnp8qsM9m8puP8/PhBtTIg8Hf7xA/HmHTL3u/j++4fhbz/0FwkXMZbh02pWxxCE0sMT7y8SbkS4
Hi4sZFT0HzL7/vosJJGPHR2krshdzRe/Z/A6wS/cwmuoA7t+yL/gef+NRL4/il2kSvgoGcibJouQ
f8KwChOcY52VoGtTy1s2yeiKMxs5+ktNLBGYDKrO3308/4mg+gfJmPeL/zUImTnyyv/sCSZiOyND
zNdX84xhwTRGyFA+fcU//yvR3wvT618B54DM5XrI438ab/bsWozKy+Zf5TtKRPVQNi3TrcClcTGm
tbejCXFVYVy6KZi//PM/70V/nPGttgBGL9Q5VKF8tn8YraFVEjWug/6KUJhq3s9sGu6rgJ5jZNXt
PJMvfJphPHQHKBqQ7EkJp2doJQHVcYc0+YioTnvwCZ+HsJhLsqEA2oTLVO61XfLf0sHXdexUxjJu
ZglaDg5dt6q1odY/8YaVF6cIy+0CzIbEcQh6SeCrEx5s9QKLTh+SsUZfk6mlUQ4U06kNllk6DjVb
T2xVy9t2Ym0AUCY8LocGZPI7+R7WNSn3RCHpn8RhowCLanyuBuS4rpgFMZ8AL+E6hVY8oUacs8TE
wJxr+WqlJj84zXl07hQSNJ6K5BKNQd1vx06u1PugFzWJTyY/mzA+Qw9JR96mucqHwIHsJ93ocBvM
aOceXA+MdRFCIgwi6CwBumlTIdeyIADio+hpjjqf3c7FmXOsZPRoTpK3p3Kw1UNX92sqQDAffIU+
+dm3WU4/PhdmPT6rYvEf+Xbo73AI7YTtVfFA0/yhG/rQNGB2nE9CfwE90LwSfMc3o5iYXfkrnDWY
gPI7vYjOPiGBV4onxs9pQPsxW35Em2331ef5fE7m1D1CfLKehmph+N1P4jw3TXSua2bk26hQAPHd
GvbLxh8WE5puxYRA0hpOgs6TZ195kX4GK8VKwTzYTfvhJvxjWqJYxildWnplzLT2wh0UoVrczqHR
64OfD9WxCflydbDKpCQeZNvOgVWMDkVnLFd9v19ocwPXmA+GlZSXlCXsvR9m6tZlhZUYpHT8UZq0
zAJMG+5H0+TQsJq3fFbjM4b15SZSI7+K3vQgyVHcWDPvOJoMAr7L9WY3FOHvKeqCG/FefLeINn1E
uP0IjKbeECSDQFAiZurcdgmj5pv47P5dIfW2Nohe2oIq5XNF93gPSCWIZ8gdBbHRBoJokyXJxTcT
9cEkZLkRU6a/2IxCDwJ4FdMYhADCMvvvNNbWE7Fx0zZbSUCfbXeX8j0Ww/pRr5coVfH4QxP+uF+g
5FCSL3wTrg+BhKZB/yS0Sb5WaZCcqq58nYxuOFFF1ndp+BPNDr2amg7Bo0tq+5h13huoSrXGVg7P
qc21CbCH8GobptbWdas3NwnGHz317K0sPC7Kmcz0OeOLAsfX7xPlyjtZO+5dROzH3aAT60nknXwd
PL95A3nE1RoAV2xthmIOHJLrAprnI4kmoQTrF8L7ExNzqhB+HAN+gr6jNiq3n28uzLgJuqYzLrOW
gqhkGoUbfLbdV4mR6qKb3grRq7j2rN6CUVgVdexPZn7VN0wf4zmZ8wOMvfYDEZ8Kza3LIYBLE6oX
KwcTB2+SuZJvO+q298EC2l+xz1ql/zo2qKkfeTu4rzk8nzJl3LIIl0X5xRA7VqWn4UYr5InTlDqD
e4HoR7NA5//FAikZN/6QUcx5M4vfBBXvuQ49c9NjqxabZu45mgZxOzSRvYErFZ1co7xHlTIeyBS/
GN5w69ay3kMe8h6WFjegF8zObeulj4mX3NYQcrYmwsxVai/ZsbbLLx2rJztyzIbd4OpvOVnoO3cc
vqO+1kdDpB96cLNjtuDoF9Ygzw3BabvKG+cYi1v/3YJWtkvz7hrkVbKHF2HBeiyjraVbqLqBl7KG
lua37gJwzogQROIW6ckvwpNRSrXNkdCXjYwSdWRzEs6EMbsxNB5vU+clrtK6qn6mckHMxQUagOR1
0cldcdEiyHd2bUTXBezXG0zWE7wjbliAgdZ1riGNDFGYHheM0bFtjebRFMZ4VQdg6eSaC9JMKDdE
0nNbihWQi0IU20ZtXk9eHl0NqfXo1PSJ2OO6M5HeTrWz+ew/OjlNfuxhLGL3nKDRBOtIP14Bggv2
vjW9CejT54EE6lggJLKFH1n4XCOCwL3EV1uddB9OMw2H1Et55jF/C/dwyMZNZrOaXwhfXZjYWlTy
Zbdn7zYjPK0kyz4K57fQG1nRd8qZ1J0VTFOV5SuMmyaI/dkn6CkfCVJnJyncRh7pPcHoOkQ0MNej
Ogv37uA5wRGnqG1uNYcIKM1SMo6T3Fc3btXJ62lJoKbapn1k663bOlnGXdXt0pStUUHjs9G95Z2k
385flskhO24lX7JGcDVVW2c0mpPV+su7rEwPv2S9PMlCNsAcu+hqXrzoWA+Jvs9LZ9mOyaBOJVkk
sW9XsIL8ctxUU1ruGIS6DwEqAcXBujeWtnD0TBnulTHikgdBvZk8Z43vcIqXwE+BLJp6Ig5Ww/SK
RmNPimsD6qB+qCyDZzlo8WOeO7OzYfd9mxpp9Ayj2TpUOVc8I6zsGI4z4XZT4t40eDeJepmMS93P
4a2lFn0iohTBEbUHSq7y2/qHm6pbADLBOZohl8TuNCEwVmz+smaZlTeyW6yjxC+vyBr22+tqSZzX
oQi0S6DrBGDBnghmzHRahjTAhflDwqGqCDoW/rw1C4TyRZGCI8lsOQxW5b1O1YC+jxpbnN0+7T5q
p/DNG6tzR3YoLEGc5SskKRP4f9kBYGsEe4TGLFATMm/81hRWE/fVtNYFUj0AbKq24FYESgShntck
1zJugWtXBFx+dXaEgNKeI9Wht7cz1k9GUV6O/EAcc1zAzLzTdpJfLZmQ32wZGl3cSl2u3425+SyR
PkXqis04YNcdObK05BzOsv8e5skkcbtjgtqbjA/TDfwG5N2qCtkAMZKLxDfOPVBSJgTJmrOWeozo
gyyvY5VJ724BXnoxGkmw2pg72Z50JSZgKQpuXFPkZSRMz/LbLAf2EzLW5UBG8nQGbEEO6mfxpXLb
egI12H2X4N/Dre1la8Nar37AWWv6z1z6jzOphswMKBjBopIlui2IODtivRbnCm7olWtikKhXqZ6w
prTY1NKG1Jh5HQ/3qEaHFqsQn9tOepfWVBqCpKzbdPl8FZF6cYhezdfwrfVQJp3sJ/FC4YYZCOVJ
pJR1zzEovjvSx8dkpPjVOsrEk59yEG3qlpezEksPmWUMTBNMvjtLGaGIzRqrQFr7+tocC97/ME7b
dKWJNRRbr5AC6rjTa/kL/+k16OcKmC1vAWseq7P1rH+GWuaHeUmanSjyaGPlEzxk4u5Ne9NIpyL/
IFIP/7yJWJXX38uUtA0WS40M0Un9c8hKWXu3342Yh8Zpask29ZWbU23HgJu8u89RS9rD/9UuRVgW
8W761JzvgxRYRdF5oCH75i1F97+Ay1QnlCB9LSapXobBde/geM9fJqrc/b94sX9c91lf7EqwYlOK
ndY/hVDgeSuD0XC6KyN3zM3YCf9RSy5u0yrIsR34pjn++VKtkasMvDOsFp4Np1LMzXshqVUD8Mk3
//xFfbpYfz+kj2iVcKjjisch7/7JiZ8CerOjPO2u6tpRTsym10oxG9R5mQxGD4R1bTkOl53Gnkcy
6kDVUkj8HkG23hrsyV4KhkcnhGCCV8jO+k5QaPAQ+ozcCApbrhKjbdRG9d6/3Gn9z/rHX7/9YDVs
/NGa2dpR2aSp0V+lBlOdBAP22goFIlaFamF5r62do8LtyE351ukW3OQkuNGG3vuXzaz15xfDpnC4
kgsQ9Nf1n7+/EL3BAMqgwVyh9xYxybiy2Kk60oQBzpxOOWyNKHOCn6Otx6s8dNK9YdnvYSG/QnZ2
WBeiXDK8Kd0OsFVumFW5ryho4iZfnPLaNGvnzWZbfwYGJsV4DQE1PCa+VW5JKV32pMLpQ81RcpVG
oPrJ/AM5ONfUq6iPZwrIZS9mR1+zgYgvSEHgaNYTxib64DKmrf9oeIH+WYepSTaKcHGKOB1nLOEm
1L1TUx2HgQMsSxpqdppl+pK05D9a3PVqbaGZQ0hca3WUVPUgIG9wpgBp3LrQ3V9IuSfFlfD4R9cp
5Y55tLwtWZI8F4OiBrWQHCByj8/pYqRwcjy7emudofRPfbUExMwmU8qHlOcpj6Sun3deWmZmPEgn
qaB/ItyjfxMLYXTuljck7OcmAfffKQfQbOAvVXokLjjfJsv6fyQU9MnW7JjMxAmRhOHIZnNoX7Oj
0sGedGbJ05iavjWzQmwT9N1xk4qIoG4OYQj6M6V8MANPNzRF/qf7ie6bIzZ0iecEXBtDKPXizjOa
Nq4jCXWhpXELM1d+08VQ7tu8zw/DSHVllhN3x9LTUGTCH577vHoLWvrHZbbkazhVTr5tdT7SVPLZ
RSsI87Qsq4vYy4wLVFDnaPHgeCidMT8kbOSLmOjC6th7YfM+a6N5d7VFbWhXtr3hCCn3Th+293Si
4VkrE/TvRNPvV0SKYj3pvs6wUI/mzMnYr72dyKIqxtNAvLG7VPO4AeI27K0lrY+YFehaROAwas6D
h9pph2fTIufOFlj9vHUcDEJNX0vrMy9QLDwB+sbqyAZGUFKqkrd9kAPyJPu3ee8TgaU+7OmMEtcF
x9h4C/dIZw4YGWeLf9mbi/poBJa7sMbTBtmeaOmcGTSbUOqkpEKVw7FFHAUaPOT/mqPb00RgVrWt
XoBZhGdrQmYhaiI6p5ZsT7kOxNlP+eDYGtEHYdpe3IRifGaZhfZ+0ti/VgWIXRN5W5foQ0FOm8xa
yfIz5C5ddnm4yFdmXPfjHMhv/dDTbmN8u7ME8/J6ytgxcvmlwlgL5/VVz26EiBXiM2rjhs2Ns3am
6mitt+q8PmtMpvjkmHJUeQjie5DHBTBYti5IU8xRRtbmNZ9NGvhsdjHZiZZvpikoRT6fxVKkmH7Q
ejSJ3SGXKkUvuo7DKBthlXdXBbgOUuIB5tVO9nkZ2jMSDJc32RXzYADyXo1hTqfVw6fiw7yoWmli
VezDIN8AZK+OYMfzq8qloKrYVDkPeJviT3nASA0+BsAaAUM8bvhPIW/JyWAoJYLQlGU/23DRNwu3
m4hnnVKMTGv4S5iiXplyLi9KssS6oQBmzAeXCRYBsH01wCeHjM5XnE4mXkoyKQgtxdhN4Da3IGtx
SHAM55H/SpP5/2A0O3KokTMQ7qadIG0kZmbnwaEngIGCx2wRvsbuK659FEHw7+plcRg+brx+Uh+k
Xtm7zuz1FwE4eZPYbXU0VmsFfgGONTr65PSp1MCkNDchj5s2FkvOb6ptxB6FQ4tsAP78p37z+cCe
S7Rb0WTu0TCNHya2TMrlwODrq2qKpU9vya+XZo50KV2kIWakycW0KnGWq7UEyFB4DvtOvTQWGprV
pWhqABjEeQIKdEeQJ+dWavYc7obdfYc61rzNKQ883D7ReQo4Z5sp4yPMPNV+mKTQAIUtBwviWY2U
41Oe9wX39Ho9q3Y9hkFPdddVV6FIRnlAzVu2/DgPdH2dY0R+ylbVmxppfQrQoL2tcYycE0P3fVBJ
855ZSXoXDBLZqF2vH9DXsKzRISuft5Os6tdneRuuHllY4eWlxky1X1wekz4LvU+fzwZrNc4MIYGg
AUc+uhMi6mh47l2QGh6PiikKzyqiJFK6tJ8w14xxVJOS4TdUwi7tcJz5hfUkfYdFakbBxwiB+Kgr
U5xJKRJnz6aIrdfvIKNEeO069qz37dJQnE8Wp5mbjs96okyWJfqc2VT206drN+Ece8HoK1+xPicn
9As//pQExx7RMiQg4JSKbGKMSwnScZrImDaHLOBw5gpZk0YHPFybmhsbKrGDCtpU3BTaHJs34moR
qCc0YydPaBV6CmfHx4qCSxMTU75ePJ/H7Iyt84BypK/bxk2/0tVrudF2vfYTHfnRc+vM9y2izRcZ
ULUby4RkMXYjH6bJ8ZaN3EdlRAyl6Y+SHs/hWjPM5DJP6GV2Ndf5UbieOk0MzN6D9ahc/fe7tnTK
O3KgiI7ycw/Vi3QYR0U8HzIkE+7JFnUarI6+Ab5jPTkqGH4EDLUPPS99Iyg2nTiPaEIk1qVvHbYV
hnHdgi1RcJPlEsMQETFv4+jxqS2B4RztMONWGUs+g77ClSXGSb1QlRDgOswaHjqs6Yi6ZfDy24lI
E2szKcqJpiFImgxWvR0HvnAdQkDCeJNcPv/x88bUdcEjxrCG9sObeKZKHipHXHHzPblGel9neNKb
qeGGzqlwU8J85YZtkfTOlQFLcouXLzfSX+jIpkATMVb+HNyl8XdZh8vqUygOOtjbZCRdprUK0LOi
JZP2MhwQEnjH+GGrAjJx6L4ubZqBfF6N1Agqu8EL+GNlM4SnPul/21T/31Hlv8gKhfSxdgn/ZFSZ
dyyBtPnfjSp//aHfRpVh9IsZ/cWXs04jf5tTRt4vtJ9s0WEd+OuI0jV/8YF+MOWiQWFAuf7x35ZM
HP8X6C02DnCLgc3q5vl3RpRobH/fCLOeBccE8BcWAgd4zh/7jxaLjBrITiZ1xpwVMYM0/v2GvAAS
26Tvjq/4IoNbw/OaSw4Q73ZhAW2jwtrkbo2GYmfhOXssSJXRu9aey7uMVOty4xsC0TBoSQzPnVMv
BmzcY47e6oVziL2YposqrpyCPUa57HqspuZspiyJ4LStzjJry/ugccJDbUbZIQmSgDS5yiVtqTbo
MinyD0uetccSuAibHZhmFvCeRkz6DMCIeqIwZ5o1vZWoEuV2DsAUO+gSBDPY/RUCVHJhY93FB8MS
7nFYM5GW5j0oK6CepUOaaTuH/Y7/IN1Noz/vy2T276Zkxphh+ZgrcTc35tHSiYsV2zY+pqZVPwOZ
R3dOIcIj/pn2RzrbiaIOltZ9TpTAel63F7dzp1NRMr3d6LLQzBgL+0dh4pclng0ZukIupUNI/dvU
FOk1AQjGh/ChZG4snue3xqLEUefqZcT8QPts+4cyC8cvmez7xyjqqYKYWbbfmHikL61REqU8eK7e
EBRXDKD+omUzhOLIYRjkG9vM22PmRWUQ27bVvis9T0Nsu9NX1ittPmRRfauICrxiv6DfW0BGPhZz
qM652d4RSuydyraXJxKyl2umZ6x9egHxNUzGbOzOucaPqgcS1hs7LV9ISUID4FMa+G2sB+/tzqmu
tUWuV9vUPm8UzziLsclwtnLPQL8zs8Os8OM3ws2+ln2eAS0REraqZpi3Y9RKYpGReIRrZPbKZkR6
KYl7c4ebwQWZSg1oOiXhUiMm5oVilZA7s4unTmTbanEY/3rRPP3MiVxvYzk7AjBJ1S0HWWTiPve9
eeMqHZxT0tu3dBXDxm7D+kaSH3O2oaXouKwnShjW7QONB1imz0mw2P4mGlL3m5onsrdL6fmHgB0F
RCzWvVk+ToPtSCQZwdbCul1qL3pIE4KeJ8i4iLYUHXrc+q0HEz8aP+iSyiNTTSIfCsPIGOXiKXax
5V9DGydcoYh68SVqiuSFWVhqnBII58UuEoH1XU1mN2wypjyXkad3sht1ab32UZWImKJ9eLAGod6w
5tpxJCfrvWwdeulR93qd11fhFf02Zvs2jMAq2awURLUzE3naU+1shsRynp3RzK6VmbnfkDjheVgu
F21MthH8vVSEbwXeihuyWbTJDhNIl2UsGyPWRYCzzM1w0RLl0DXMiET97qVZ9KXN3W+GOcmtL1vn
xhp8/cPDQKa4JqxG7JIwES9FOnQWMQuMoPmyRPvaB1AnNujHEmZ20zPBHIcas5gXnddxxlb27YPV
YQOBzcv9TMUArwn0yC6s5BLXUKw2y7hC71yZb90sGnYL7LATmWzByTO71RqYFbj4Q7c4NMPAidbC
fSa4AHLXSC9zsSkqD01ulvPWiPrE3blBa77aIBLwPHKYjrYpGReJOsfk28vqmGpmdYSRrymEjdNf
2hCYJDV9XWCLKhRDOKt3wJwuyXBM8N6F1H+TfBsDLdsr12ATn9S1NKEz092d27XGR+MFRKKRYTTe
a6UNDpeFlqsxiqjdQJkYobURSOdPevqhqmx61a6wbpwuT+pdPxEgR3uiicaJEkfdZTpKyi1lKKE5
2YSLyjYmm5U1+ZiWndwyXJyuW7+FGFCVauuL4OQSHbgdAXI8ROjZ7DTkybHAfrlrLFcdZrN+SoU3
HLCDJJu1/B839PiQiIxSizjqR3+nzHn5vjgj5sgRaz2Qi6HemU022pRnRFbPNDPjcA2V1QcJ5baT
zL+i94DI0IErSvMl1KVfYjxsHavv0WF1V9wlc0ImT1T4d1YxJXtWpdqLzzj94ltBes+xiFmQsu44
ptMzJk5xUfSNl8HqElYU8iJ5nujwkMvbcNiQlTWd1pHJcyh8m0OKrfVLmEtxbw5zfQ9vQO2RuNdV
vtLFn1h3MWsX9q7A+82xzdMunmud3w52NOxVGKiCTrmubwtiB18GvwRq01UZHwzZtNzqEShWwEj+
WVm8/IXe54YgsgQQ19Inj27Y+kfSXiaCO4xQbbIxyX44i6HvhJEOBPUZqiGkRie3EcOKx4Vr/Jjy
xj9krpYjUXzegTEpIkGilrcSvgP8O0VIeGpVel+4BNbMVg/+u2cYW/Ye59GQW8s16+ckteTQ8uqp
uFfV0OLfs527pKk6l0O2pE5dkmPjF/ZNy1YMGW1IfNxrQ3OP+Tw/rJ/nE1Eo1pmuC9q+awQHtFaD
DYRxdHa2PRFDGi3Z96Sn4ctnYzI2rZolf4eO+qSXQD/YZTsdIh1Fx9Eauuc2adBQLG+84n7y9QbE
N1FcMohqviK6jg3EdnPbF/RT8eBE6mFyzJpEmMJhYs/OOnMaNk4KVbl3UJOTmyWI5mPHgxHjDovb
NBUfZpNHH1bn2ETSdHh7cHhkb+aUlMz0WS8RTmbQeYwcNVx+GQ9pt3K8eCXj7/OxKO9xbExvNFHT
tuwt/9VuckLtNGl3fbYemsBH7PywwDJedi0rhM2j0NFLbhP5tRsJdpLXqlODFZuY8bN4rKfoNTeS
8tGzok7d+21HKrUTRCz2kHBVMokqLGWeweDmPMciS5iKiSn9KTsPEZ98Yy/4MFW6BeeKuuJkfrCX
kR/EmSBmNy7S6WFh47Zgo4EAHzpNI3vxpOPl77bPLR5jjTK9XcsiYOrjRMVs6t9Y1jyPxC2l2LSH
E5es3ZanYBS+ATgrWV4pezF8lob4KMbZfo76IXiyVCpPSuVPSgR6x+ygPgaqg884jDWJvfPFr5ZX
DkBSRbP3ovdfg2EavjlNRwWBkTzddN7wyhZTccWeRnWPz2hHKI1x5sshQrJFqxVlr346izeKTS/V
mkGpHMKA8iGvrtpG9w+ON5U6ZmaTqY1sozR9Cv2h3dWg4R6yhXoHuWbyauPXXev/7Z7+RfcE5Hpd
7f7H3dNz3qa5yN9/3z399kN/M3raq1vTh0MKD+tzZvNbAxU6v0AWc4NPcDHzMYcJym9bDzg9XXYk
sC+bzkp/N7Ey/q2N4rexehpwlUBs9/+ttYfgzzAU/jxzRH5lgOEU9Mvfj3HC0QfRqFPrKgy1qIDl
gMJqaQi5+bQ655PDICB50wIQFzV4mn1hy4vsFNNprvMsHW6dxl+TgEZn7wWJlezQ88N7HjuSJ65Y
y2CNSguQ4KiS/ilh/xDS1qDeTWYTLXI/H/AXygHxbPf+fL9GSFdUH0b73UtEc91krDyT4uW9cyhU
S0xIoPfOnJf/aN2bfu79xvhRzkg+rPrV848oAExQnEh9m26zJti1PNTIbiiuTZzg4cEfE/E0OW7K
NnpqDO7t0JMYw35aAxLb9WS/YUY/7mTIOmPAyu6mq3PlbrGUzrdWO1fblq7lraLdsq87dvf5WMgJ
vbLmKT0X0hpi+jtudtN2wO2FnI97DjbKpK785taLuGZVTm4AELpbj6n0S1t0YudZicuCK6pyRXTB
MzFP+lI3+DyPbsfWXiNryXlMhPFhThBUTVZPX1lYY3mxm1nzNbtsSwVWUSouowqeZZePPWaW2aCU
axcklblIeNInUVqRzbq4vX1H4MOi9gZ2madWhe77QLjpsoEwIF/dFN2VfXvraZ4YN21s1rwAkjaR
9RSVgC3Q2ybrKc37BsFbrvIQch0ToxZH2G2HZ3mIg76TJPZKUdU7NDqLsy2jkoyNVuGvmHjcXZPl
gij2+T/J2OZ7TSRghI0a2HnHJlbzM7hVyuAs1xGITefFIkhfJ8+FG5YE5Q4I8f3ort1Rli7WFnhO
9BwCihkQ4pLomVVakqHacCTNImoRb5FJeBuf8uMUNCwwzD2xEU7We+9yJg374PZhm9M9d8t1JFgP
2QDPZz06tchHgwPEG/oU92waNZ4z5VJlJ+RwXsBkKdZLgpRNi7geE9x/bGnjbUrGsmaZjpS/bTgH
lbsNiQO2bxMEg2TfEceaHns55mj8TdF/Lwq6jLxc+GfMbPxa8qTb6lAVRa/ixhComCgTJv+CHBd+
/eyvbz6EqgAI32a5JW4ZLVA6KLAXrg/EYWbPeCTRtJevPiVX7BowzRlm2+Y9HmT//PkX/WAo5/1o
+CwhVtbqWh3ZNo+LKV0rybIPYza2aP7cyR4XJuMkLppsIIdMQ/+DvfNactzKtu2v3B+AAtjwrwA9
mT4rTb0gUmXg3YbbwNefAZZ0j1TqI4XeO6JDLVNMJkGYZeYcU9VnR5fNeytwqEJBVPIQp5ltPdCw
+9uczXl9TM1UdtvIGUwzbAWszyA2Cz7WjOcVGXDhvFp9Nmsv198SkuEQH4qZyMgQ2w6/rI2egwBi
YRq3qHpJPS1yZKmsMia+57wc2+Wpn3K2fHWxfqWYkdZjktEu3/azX599p6vPs6z5Z39OmRJ7ftw5
K3ov3dPVcUJgoWe5OZGEF7hUdQeL4dC8S9um+L4sNmdk5mjrOWUI1FGxrXkl7dQ41WfS29UQJk2u
QuXmbCF6H2NmtzjToz556n6E8vhucqaRTVgPaCULGkYS2S2/uRCvSdyPTQdjC62lfhb4W4aSnXg4
y869dXQ3OmfUiy98mU6yQQliPGbJjAOkkMg7e2voop2bCfU0chbvs8krd0wGRKiPsY1rue++ZLT6
ZlDw0Hkp/EI9eY5GiSIkJ7aQE5g0HGvaBW8CIS/ILEmvXWq76hjDk4Sxsf2K7p1DxiIKVpN7mAzf
/dIiADJJWaw9c2tFk8bNocutYxxn1pExBMd3Vkn0IpEuXJyBuS9vWE53k2HTXo6xwBtEixgg/DH8
VZXTHNFhm3sWAeD6JU+Mh8poqkcgc6yWRiKVCQhGSsmoYHF3GruOb5ZbmqdI9ukhGz3ja2G7y4sX
D8pllYjQq2V6881khvE82PZ8bAACb2dgKiGmpk8y0+RLIqxuw0Se8XLhe1h4DRSCgp0c6fLVxL8j
WFj3ynlbxfryLb3KzdhZdmc2oC6g+asgrVy1aQzBujOCGwRr8PYNLPoyvylXPZt9lbZFV5kb+wz3
sqqqaD7Lb7T3yOGWqzRO0fOeqlUvB37j0Sjx0G11BD8yzL2xMy5Fzt38Ad9/coRss6fhVLtlJGir
Y1Z+M+E0C3JtiO6rUXI3Iam3SomdfTQquj/E2biH/W6J9+OQmpcmZ9v7KSIZ82VKCvlUTNY9Krf2
kcI4Dqa4M/DnG+5T5fasFgbVe3ctCKlD6qJ61uNEf4vFpMjy9Z6XWDivjC3FvibCWu7tqap9rg/m
f4dRqvXCnw5AHkvUCuK+I2slcMomsbeFnuiXqV4KAkLbXn/oEoZhCjfItoDytjY3EsHmCOkP2rpe
6ZskSqbPUaNKJMYoMLOdXg4DqadtUQyhxlZrO5ptHXpK759FlXvvqfD1jkehqd8NmTUEJUb64+iY
nNVoLj8rHu9nVIHDbS/0z5P02lV0ONPoTqpxQhY2/aVzlmwzgmN5monYPs8qMx5yw+m/j5aSn2c/
rtsP1evF+JA6MorpN5b8GBfkXDWtfBPkWj4k7AFJdc0BQ3iGuow90nuWilgQHBZ7pKHeSUn4ZofS
DaWYW34r+kld2iXNthFpzA9Z2o/vXuog5IPSee83PsnIwxS7QV4lZRtAj2tuXZqpG5Sogs34oGsP
Vl7biPOHacvhcoMRTd+pITn9M+wdK2TI9ykaGv2U6/KFvOlxm2Scp12mvxsiPmZT1l202bbeJjTV
2DfzWUIL7QyAwUly7mLM6ybYhZvBlQdY+rhUXUHfqBuABdy6UdZlSnqLT8gaTCSWWaBbFkPPw0+7
dejM93qaXJhs1wdRGK9RZrkrNK4MpEAuidwb6gB6yo3RjJwHgrDmRGFoj00/AoNrtU5QOTzCd7iE
dRUI0ZgPXmw5954v+6eauSkP+mqs+TxJH+YLae5uP97UMreDZog/OXqLxVRq6cZYpS4xOIed35fl
U5rVtFmISYsdApZ0o8SaQtvoSguGHkMMKedJcl+yVNzlpj4/61KO57kz9Vdwz9ygnLi+4Q6EtEnR
z4Le9R/MXh/3TTUk/KOwmrOJlu0xsUtmzHPVTduhrlKYEFNtnAYrGx6g4WFhj5wjmwfvUuc4MvSu
iIgeKBEqDgmoiBIOhG14FBRqjD+NjY+Zt1OYh9vOPBG7BptOj0nr9RNv5wwO3wMCy8kJSG/2l9Bz
B0fuSHW3uRLKPmdgbLc7Kx14OhaJj33BLYt9M1neS+PzwcdGyacoq91dxww7Ay1hTAcv69JNu1of
vSgKdCWJh4/AZQYyS6zNMsfdmWmyBZoimYezkla9m4RQ5o7XqBu3VIkXrqrar6xrnO9AXqZtijAB
jYPfF1+YMrQHX/rRtlhLqwb8dlCMzE8B05U1eoHM2aZa2yDxHtPQG7zhZmoMsYmAq4b4aMcNEevi
nCOpvl1YUJufeL7lN31VmMmIHolJV9anZtjl7IGGUsXOY0FU9hLaGoPGEREAQaWT9WtuCD3e+U6F
x3LUqQVztGZ3MQ/ZmMC3S5V33XYeGMCFWeeRM0wZcCOKpuHOC6uRUFaWM4jvwNZElv8eD0b9uERT
1gABSnZtPswXJjH2bVslLfPNttU2Q20PJ7Mu+rMy2nnvVam6N+y+e06m8tRO7bnxFrVpfdHelVgx
vuDEYnrbt/KEvTPay9h7oVCbdsAomM5L6yEb5wJNB5aZfJepMi5OuLEmY5f6y0JslyWbDFFMVbMu
F87yOJg6yl9gpzGnjyjGoKkwE5vVwAExo+WSD1Irv8yj6u414k7vNMBG6TZuUnv41eubZ/w2Ve4G
Mh2sSOzZjZjakXXTvk1M97E2ilcUsCo5I45zCYuv9I9+8psbhRk3SD3OhSMikYjvOZvzrZdnifvI
CNHWX9OSv5NTIPMquq+brt0RyBBIhDN2M70uiVWHlim92L2PRdPe8/Q79iVP0H+KffurJ9HFJkjT
jtVfp0//Sd+YUyyB3NHrgw36hKYjzSgTEZdTuf9hZHD/Q3n6R5rcXxW9vBEhNjwREKWKnzlsTEYt
rWWlfygSQET0qSWDtqqlVuNrIOM8ZaJGm6CoRxduuO//9t1X7irSXM8iP8H/ORGt0Vhm6eymQEU3
4tmZoL2mbTpTShTyUCuNd3V6l3pQwzHV/Bgs/Z+wUeOvIlKi5oQOAtNY40V+/uyEbuDDiGR96IyG
nz5O8WDduHkrnqsMqc7GMlad02jN9bknLgbKkKwGeoAqdotDTBzw898fjb86X03SRn3DXONw/oM2
2J8GbF00M66U1nEyGT/YaSLIhnK7r740/smSarMqb/4sRrZQftoCtAUKQUJH/zx+YYA+k8tLDEhV
Sv/SJ/RrHU/jj1zrUeeLeviSFMQ13MajN5jkwTtmNIcdKNLyhs0rJlKNu/kWtI8l70o5GviUnIXt
pjD8lzHp/S0LLM4kULYRtXrpdF/1GD8yUxyrX56Eo5Hz16pcHtJhoLfAaPZR2+PUP3WGb3e7pTeM
qQsrxzGtzwtNZI4RU62mzMg2afBiGtCcx8Rz6ZrwAQvEedwnqu9IZqsnQNu0cX3b8edh9zXvemkp
dUEU5GrrA1Onq8Zk97Dgk+t2ax5Kt/fiWh5m/qC8s+oGHL5MDEdtO6J63q8DkBKD5g/c9H/Hm/8w
3uSa8xgs/t/jzRswpB/Vn6abv73mt+nmFdyyqvtpcnSdMwIDwG/TTUQgWNyxXJuwWXQ4k5zZvzNd
UJToeMt1rnemnFcSzG/TTcv6hZEr6TSIR2zb4SL8NyIRLqU/X146kE5AivyPy1qQg/TTdLNZ6hx7
5YwErGGzEBZaScc3JehU4Tjk88FlaFThiolRPrHoa26wDmthkcbJ1y7yFlpQtN6I2fQVY5QsbYmR
sHOdL4sU/haepWcFmAbnSw1ptHhNF6u9wADRv2ZmrDCEMF4h6h3WzOpSZWG0TzWn/uT2vSuOXeuP
40kxI5luZONUWxLsFFthUcxBPjuYogzfCqmyYXXN2kUfMJtgBvdwhmXVIjbtLD+Pg5AsoRLEf6PS
ZxbVnvGN+8lADvpKkPa9CEQEGazA2ywnSW/orqfjUAzuQZODPI51SYki00o9jK22F9kAuU74KPQV
UVha0ZchEMP1t5qX7FXZbDvMwWw2w6wuiW+kJLEvhmSEii086ilpikxxUZsSTJNRrSJ5Mge6cKFh
WYyAb56jrC8DyhKR2ie8Hd09vsDMOU+Ga3/hiKDl7fwsks+LA/O8l1ZHI+bKWOXg43DEWxN+pb30
mgRboRITiBMLU1oBrHlGdlTtnMUrR5zmVpL05oHkKiZpGC7zZhzc8zKoSlIXg3AzaLgxfw0ZG0x4
2lhrj0aZG/54LibuRA4sHBQzHv2dp7lug4bNxp9Aht9j183qvsDHqL4iWmiy735mdN8hXovJvBUV
ARnGk1tGxo59lssAq0EE9NbQejKiLf3xgl8vPznVwK3RlXkEybsYsmNq+ZW5lUX+gG5AbvWU5XiU
5NNdB7uL3W6acVqqvN7MPAVDjbH1yYPCg8lQX3a4vHJGWskdMzz12DuDhfpfK8QmXcmIwBb7+OR5
qA6onDjaoci86ECXPRJqDPP8CEhf7lgfdR+1aIovom8Nc+fnyGRZZi5J0HuRV4AiyaRJcKJv4B/q
QRmalJgZEgHjYFXD5ySzmDwvtWVTL2YoJWuriYllsfQzI6JyVypbgy1kVfj1dXlTEJ8LN85QDxWz
Y/DgOUtzy4jcoGy9aQhygJZnYcTtFEyiG1niO9VxRHF+m/ZRxr63L6yL42XLiSWzThmpz5t8YPHG
yHXnIYrcDUV86yRorjaD5Vwo8bq3ROXRZ1aePjk/C71aZlrbvM2r02C4zaesW27xytoP65l9Fxmd
vkHwBLS3NW4WZj8BO8k+9MzG3nlpg0TIMhv9e22AlKntPH6jNl7OsrUI+GF+degKB31q6sT7LBvz
fZR2RBy1TfdVTHm3Z+LtP8WWRvSA6YkLRqmXReh3lZm1IQ2+c2ECZF9YfyMqyroJ8CeCZoA2arow
NhPvGLqVAiC61MxwCt18dPCCMJ7rzO+a66G97Dkau3zJ+uNAn0X554cyjbBYacPc+kE+OtZTY04q
CYU71l8sb46f7cyK9aBG+vxrXxLFW/ldx89otGPhFSI0QQwxpUfLPOlOfcrBRRHSmzG7GDO1M6vY
OyibIKcJx44XQEjIdr0dG5zoQ5+eDT8ZnhE452HB8XmmxaQDzupHT8ygABDB2XnkHzRkoJCckdGe
PNp2lPFW4X1V0LPu/cJLD2NUV1+R7vmbQmeAFTSlrjvbubaw2eoGFqHssS+ld5zNUW1yzu4nA/9j
yZxnFgd/MCOoc8snT0eGxV6JwQoNaHqbFfT09aCbn+siJtshGbSNmgwr24AStN9tb/I3ptEsjzW6
wNBy5fSaJyRG2GZWr30gQq7RVV+wkI7bUZj9d2BVWpgDpdjWRdLtlSXMN1Et5d1ioLYb8RTdz5Vd
74wi7u+FlM2ZfCb9yTWYKYUdu6d2V9ddvO3qVv/wSGLYWERtPyI/r+l7p8QMk2zQAsvo4+9qAUlc
jZX7biJ40Agblix/uOWEST+PTsDWbtpUkBKP3oSqy2XndyNaEINckebOiqFhxa3fnL3JTk61L5v7
1kjGTd/q6FxmP5kZhTJsIT+rzRjkR+Ah9LlAxGF0ZRgpRjSGMYrjIud5CC3RfgMIwqRY1VBWbVHf
qIzOE1uIvCxVPT0UrrYF2+/fsG2w08Cd0yRC8a3lNwyVgFoiB/tcdCOSeEJUbtzGm5/0yehUoEG3
eLRwEB9Gr1fHWkWphSLTQiuNy+FOjk3+Wvp1+4rhQt5XOPPRsUfpeQC4xNjFWz4Z0pohJtXZfpbj
vI1m4Gg6swx8sHzaOmRqq/dHcE0jHZc7fLKA98xBanXVRkvtKiSrA/sCs8z7tnMxsbnIt07VBOwr
LPNpPoP7KvMwpXXcgogzOY799GYp2Fv2mDj7WZVjEmYIDE5GajhfiOnVtbCOqvQ+7pF7OJnuv86L
3R10a+FB70HiWd0/XbpzmJlc8Ng1z0Ah8E5rrCegQ0XosDYeI0QG7kyCG+xgP9A8/y2O/6k4XgMg
/q44vv02/b/DR9l0EDy+/VEAAFpwfeXvAgB9VUTjriMdSfyvetoVv9i4UDFQesiXvSsA6vfy2P6F
vHDgZlTB9KD2WtT+Xh6LXxwWLhguWfpQ0f47zNPPEw7SC/lB3PlxccI2/7n5tjRHxQi7lkO+1ofm
wp1bOPHLHw7Kf5hu/NzgXt/Eh4ZtI+Hm/35qcPt61Brfx0825KINlNstm8Qd3bDJrX77929F7/Kn
Xnp9K4vD4q4DG93+OeWpLrkXZTFAcDWmfZAWKQWEMFEfrPf/gqX1oTSkhmHbtvBbzfU/vP1fDucK
6yIyxTXWlM2VR/knZ7YoFtZEjmgP2ByeRem+esyF//4T/jye8Na3sGm28DD/h4hgKbV50COjPdjG
9Kxs84VijAhbmjbK6vbb378ZJP2fDygTKYYztGgWJHpfX7urP3jNzbhllUAJcLAmTONQq40G+5lW
nnI7Kk/FaH1iEdiijI3Z6fAsrLMyYOoLcb3MZSk3XR1xf2eL7gfoUfPjMKFyC1lB+G3IzJ/tEGy/
rGInaDTrQ9dnpuxD0chK81eRTft47PrvleWx15W9Ll7mzm9CbfaHcoM0y7xN2oHHMpjnzcAI62Wm
cbhQb00A+4Qruam3fvns2GSpYH+sWfdK8yGK4THYPQYsx6YXHC0JMzLu49sBnEkQl36EzHkguw/R
7W4cluWYe/HNkGkjKYrld8stHuvU+kKf8QBBt6TT8MoTa4PP8Ygu31/n1dybywDixLLJm6Xd562d
hrIyNnaXTd8oPtuji/2dBE+NAp1i3xJYoad6cm6VMvPQ15zoJGLzxYW1dMqStA952jQI9sZvPCb9
ZwUKeDMbWXa7+G383DsWOCovD3V/jDcumRgB9KPxsKRFtM10ldzQlIRDwvA+8ubpbMfQkSEzA38C
LTHH/rH3skHt0tr1n1t39DaJZ7PL8VIEGHqW6eeqMehnKsX46ZNVudprko/yDsseP8dTSjyTWk3j
xCj4oJtYIVOWXCXfKgaJqGzhUII2wSoLZwktIKdI2SLGRHWE0qAyEHkPYjemhf5i1cApGOqrUEtS
MbwPqd6yy9Rn46ItbvycJtRTVVobsIlLa5O0ZCAFU2r4x0WDA4x5WT40C8/+UnaXyJ/N93bx+mdr
MElYBuR5YyjTOZQV5wIiwHQ39JXaV6DZEypeuu50iHcsudXB6lL/Qcd8sMfkLm+WWKvvAXBvBFr2
G7QPDWtfeC07OQGKgKkax0HqAEo2lI3B1reGM+AOPI8LO7wUd0EUIU9Ch07mqW/En7FFJ4hO7VeW
OierjFrCCaYHmCBEUsMw1sZM21slrve+4yGfJiPV5YDMUYsmYy9W4Dja5uIwl711RCkBvfVKJgf+
U9+VM88NzmhmL4EWxfqDGbXzR7eizQsumssYZxqzVMDnpvIT3NAagZIZoY6YRVp30+ot7wZiFXK6
r2lmWK849WgFq6sVse7lPUGWHtj1OIqms6L6R/sIlN1Z8ezdCmovcwSIwgJYi14cjLuNvdVEXXRa
RGJcVhEnYHHA7+jOMsom/L2Om3zgXnn1Dcw4cQ8wnsRp/SBGE394dNG8In7Ka5RUqKC5ttPl1Fv1
EI4rhJ6hZL+JVjB96xkrDyO70bq2eaDKKtj1L1/hvXce+0qwsl4Uj8cIwTGJVfqDgoDfryj8TBuy
oMZRsF/wnzHadNpP0tBcBLmki25Y7ta7QdTmR7di9usVuN+pHXRw89m2m3X/ncvqWLljdz9ojYns
VPeO6Yrvh0tQhOqK6UwG5FQ2eQm30ZX5b674/9rwigs3pOVoKH8KGDK8yzUuAIagFkwUlyHRFlha
9ISpKRlaPACwI9G3B/FqJy5Ko7rtSu9YjOJTXiZ6ICIDq4QnYfV6NAIMXjbRGmYQk2oQrfEGCzkH
7iAQfekY9EEJjHeN1ZV+YK/RCNwSnLt0jUvwHbzPzhqhgAI13xBgO73VaMLogSXvrPtEEYSFwwUU
aJVahyBa8WpMrU59ulgP5pI5G7Ng5GawwiPWwy5MPCUEPDiImbhOHPW1XOMf8jUIgpi7MJdu9mIn
pK3OfkpeBPonGLEWUKsME9i2WIMlhoWICSgBU4u+bBnZi3nawaCyCdvW/YL2MYai7/O9t2tohZd5
7nPRKWNfrZEWACZm2E5zeiAbYIUNEn0xrCEYtRrsg4374s5JjfyQaHEMMgp0K7y5Yk44/COBGmS/
lBuBWX7HQSqeTXBIoa2jfAi0PhdPLKq3zhrQAWTR+qxGJ7lF0ra8duR41NdEj6wh3GMw1piPNfAD
0UYGB5oQkMLhJOPh+Z0lo2BCQFSIs4aG8HycjmNGkIjfqtp1zr1B2iCkr6IbftQV/y3y/6nIF1Sk
f6iK/pLFdfvtV/nR5X8egf940W/1PTbItUq3bIvdGdFZ68/7fQSuW78gyGD+4JnIe/9okzSZgIPF
8RAA+y5PUwq930t8/d9MvIW31tN/WCgh4KUyMSwT/4ZJO/rXTLlBw0aRjBfUB/6Y4AuUiIjzwARr
OnP7d1NrbspjuhowmHLgxQAJNT3bq0GjW60aRenh2qj49W/kauUQElOHuvo7+tXqIa6uD2FKbQcG
YHjj7lHeSm/1h4yrVcQnX+VWrPaR/OokaVZTCWktXWjPtnnbx1hOotV8oo9eiadFr+77CWuKf3Wp
rKKrFzlP08m6uljYelZvOri4l0FPNIGBs/Yfi8QrH6XoX5zVDAPaBFvMapBx4GI84ruRjyo2o525
GmmWCIKKNpn9KW8Y/XILy8PRMdTWSiyAGWneFs9DmqkP1y3bQ0rJynNrQYvcMqq7hz6fvAJFH2aE
fFlDEOYodn7iMuK12+TRVk62HXXkbYGmA0yXoLouXtt9KjEgUg4YlKEg1Ey0edywnqt+oEoz1K+5
gvIamGNOp6+N6aVNK7ynVWN3n9NqYc7X8h1+KlA13HrTmHDLSZaTLIHaBgmD/U0xem6YIXsiWi3S
0nvhd9lBK+K7Kc8ytIEKEFBiZ2EHk+mgU1peVFINFwAP6W1ilJQGfTnNT4w/hl2O0S3ssSLdeehf
D7Noqxu31acLU4/5QGNrfmSWWZ8y3+ifaEoKHum5lm8r0fSgwhPhHSHSDTcLWudda7Daq6KietB6
3XzqZ6t/Z+9bfJ9Fpz8L9Ggbhy0Hd25buzVB/8U2biKOFXazVlU+cxWvfDNlOu4Mr6k2FQOZ7VTl
y57Jr7bVkInhEuy6O6Nv6kumehX60GDaIOPEQdCp+f6XlZAjeX4QVxRoi1nxBC6SfGsxQnyoqFAw
+fptv52jEhKhXo87D50E4lDrYxSjd65WSAGRWc2tJSk+h0pHu4yDnWDtGGavoflqOzLhvjSLZR2K
uPEOzMmKb1kVZ/d6A2oyzePlLrezBgC5HWlfPAzBVH8I7WCKTJB/A1rY4Vyljsv9K0lOKcujAFhZ
tuEpar+l5AG9SsVT2PFzfZsgBL9J3QZvJ4Xn+ACuYnkHKQPUW7vyve00fgYwYN95wL/ZjaD7W3ng
qQ4ZXKzFR37FhcMVAR1urBRxu24H2Bg9bHHnihnvpgrkeLrSx82VQ05qnDzaVzi5166gclprVlnI
3soXbiMNw0uY5lUM3Rzroo1EB+K5e4Wfg/rBE7MS0RF1ol1ZKekygZfurOT0Ao9oHnBtq9fuilZX
HpR1bEAA15GMa9tlpbAzRC5PAzvkNZN3xbSPAGLHHbRX/S6LTIOg9R9Qd3qzF9eoQL27DnlModW2
EXeStFk2S1l/LXBYrINoWPHmsmLj0ytCPltp8jSXCG8z5jARe0F48+YVPb9cMfTqiqRvVjq9WDn1
8oqsR9gm4dcXP2j2TCKucHszvrLuGT/SPa4d1crBV/rQ6U/Al1dCfuyWTf/Yr07uQ033k1anpRGd
toR0XqVqNha66+lJZir2vkCailjaJG6hT/ancswm0lC9xtag1A5Dn30F09sY+d7jK5I8uFjv/rcO
+Kc6gFPmH4d9p2+y+zb/edJ3fdnvkz7zF5+VNjMoi3Xzj+f9b5WAazPto7FxwR/oSLEZkv0+7DNY
eBtoosU61nFhk///SsD0fkERQ/nAf9HxAlEk/AumOxPCP1cGzG9W7pFHzKcnXIuy+M/THNFKWt3B
lgeAnyjiSLPgJojcIj8n0WifWcq141Nsd2TpIdkcjmNa9Q9JA0F0n2fGnIcSqCewqZwNCIkiJm4C
iXy6UTFI+MhKH4je1vduXplB7LMpWHBD3kKfTkyYtlH0rERlv1H+fxTY0FHVlc8jdfpTT5bIQyf9
Z8zoWVhUDAaDGsoMBgCDBzTrPDIwJwvuGgU961cHtXrf9PqbjzcFOb+WiseqmvJTJ9ln1qWXhk7D
CycoyWQvueq2JPRqQ4YCOueFSO+y0/zvncAYEDS1qbA8lYs8xmPGytVSefNhjkaPo7rzw8WCC3o9
UPkCV2/Noub7T0NN63j1ZIzcJHO5eHvmdn5NZNtwXPLMCl1z4IWdPcEUENy1MmTQfum/jtnSxmFV
ePoblHPCpZrRD20MLocSO/EBYzM7eW3g3Q3sQ0GVAWXp0t4PpxR/MTdsX9oBQAP2XlPHoFNmHrMw
0cTa+zAAiEdIWq54cNO4SK8jVWqyjeJlzgsXKCCixDdZrsO0XOn8tKJM1J3XFNr3JZn8UJltdAK4
l3zVaJpucShgmFp/v279rTiz5Rxk/PUoip4v44qZwqNWTTtdDtV+GIAREecBs6vmIOPQ7rfVAog3
cPtU0L7ijU+Q1gL9ujjskJJDVOCuOfD8QWKb2C40PXNZxw5ZtGhBpdX5abHq4yixLAV9NtIypbF4
azTdc3ZGM3v6nlNlJQuVnAseqcnZ0HUb3j0NmVnaKaZ2235i0Vu8SM0snpJGzm9tk3QXBI7+c7aM
3i4xhXQ23JJNgueG+By1UBswb2Ce8AkDZ3SN6NTJcoyjPVO8seZDZguViL0IQq1tHY8+Wz624Y7f
O3itGiyg1YSc0+r8PWE35vfJMWG4RrIsa8K5FkVckMAJjd5J75PbvKj5WT6AcdLOHIFt3TJHvuFg
lLWbQfHMu8cIqiJYxCkPTVrJDUlq0U3plKkK8YF7e4MknZ0sEhPovpfvS09puAPYlRUb1aeltycm
pXvqa+sNWN5wIaL2tfLUDLORGBpWysOiLcjEipsyBs6HuMxxdsDeItacSF8GnfU4eyZLBOngybtl
Kep7lPLlQ6eZzm6a5/IeihCS5phURZZ38bYkMPewACXdCnLTTonV5kTAII8Ip8I2PyGsYFhczp4K
IulwoYLvCCzSJCE/Vym2EYzKuzXFdyvqfkVcRtkSDlOn7dvG7G7wROOu94BEUrLY9yyYBa7jsb+y
MHXYx2URIerVfEYFfpsOm0np7tsIS+MGmwNUbpllZFjVRznz1S8NzPOKFPAJLXidYGLJTJIedV7z
QWQkF72WSbKEAKm2T61PviNkFSPZDslopuAAquUTgYE6ZUubkHgGaW/Rm/pFc+x5L1qXtADI6nUP
M7Ih/6eaFwM5Y0FSk0gqOFJDZUNv4kZhEPA36ZvRcebzRCD3Q6KW7tXn85tHK1pUhp+ldruNs8QY
CaKMMMaZGAC4y0zkgpIJB5+/HYZwSdzawM/QyBCXXfLsuChEqIBZuwsIe2ckz1iIR4kSXc8E3k3T
aQAS+6MC5R1X4TSXH/Wit1uZzgIiTOve1vOgPefkDTApF+DL/EllJm9R9Fi0vUXeSw9Ji8vOnzkR
N3Ns19yVOmeI3q93Fgw30XdflfmpqLlCcYwZcGPWq6hxuGkpMAcvAKu9jaNBlMH+WY/cNWaeMBIv
0J5AI3mkNhQWl8MkHrHO80YICdSmEjhHwmKEdDXpE0vbZNL86pan/XzbybyeNzXxz1uQMMuN9Az7
/N9y6Zre9o/lEivNvx2b1JJEuPBD1kX6k36QaoeX/l4y2ficqXGIB16Xodfgt99KJg8loFi3prrB
+onotz+4o51fePgYJknMTCF42f9OT0zzF/6ogR4RKfMPQeK/qJlYGv5cM7EAM5ml2A7qbN10V8Dx
HzZg7ipxgSqQwfJbVdiGD3V0s3TxiqcbJZ1gPxJUAk3dTZxjJGZoeNzEfI85NCddKCZnFcYsnPvb
muDslia9NiYZNGNV6jgmzO5rmUKnZGJjwZjHRMuk1Dr21kCrPwu2CwXXCKWYwfR4ygpcdwSPsStb
IAH60Jzeq5XK1+gLOt4Rp0YTsFKB/onV7QNgJnpgv9SqsK5ixwmGWnjNXkCqlIAQV+nvaEZ4a3O6
53vR9v4LlQNvPHGvAiXQeerxaq0tU0P94K9G+epuNRvlSswRVV6falvW3snx0Ud3HkLgYo1tIMuZ
IHOjWoXzDf7t+5m8dEybA8NZMgssROVCxPKgG6bxTO1rf7hCqfu61oaDOSYmnHxclJWJFrgzdUR0
TtkZt7Fo+fwNicovGQm5KVPfdFXR+VmHngr52lcomByByqrFc4p45J3dhw7A15T8McTi9Rlntf0x
x7yOFQm/AHvU1QNX8G6kzSI5iRJ2egO+SwzRvuJTWznv6eWom4tM57P7hY3hdZh0E3dTWp4rMl5v
TaIGLt4YGQEMUnWTRel4NGsfokOKFDBwr9ZdR0WrCRlKsbPhvOYI//hCcRQQUw+Bxn8Rw/oNsxDD
Cq8vXffmEHCjLlMD1X+jchajGxxCefqglYKPUM8ZP6UZE/7qdQU2YLsYOC6Al1YqPMZGtFgzGjMU
ZW6c/g97Z7bcNpJt7Vc58d+jAmMCuDg3BDiLlETJlOwbhCxbmOcx8fTng9z1h+1y29H3XRFVXV22
TBIEMnfuvda3yJXNwY5Uy6TgiZ3XNDZZPlMsDOP8FgWoYFfqULhXmY2Xbm4tctsjYeJLjwO0aW1y
b2OOM0EC14pXaTkafZMbcIrG5a7NudHTyeyDjaxC/qQ5WNyFMLN5b9Hiz6YfNN1F9LoZCXcDdwON
Rb5Z1+iwlVJsGXvH1FD/Z7aN6RnMEjefopNFEww6j549wsOHpQCjR+0q7RyNNQ8h7BO+YBIMsaZ/
s/emSVVgrUxcjMypy561HrhFkSjxWN6UcEPMnU0LYa+APcVxizeQyefc47zOoaVdDPbAYFWM6D5W
BPW2X6ZpoakV8+IXHpb7RLoTGSvLV+QYnbHPLXTzjoajz0NCFG/BObtr2yTqXg6Du65MrfqI8ya4
vt/CsWJzfVOMyQSda+dF4fQxEMN0GY2eSzLqobybQh4FkB4l9Gp6fJt30oGhu1y4Dqy84VWZww3T
2youLogl3AHLI0EJGRPmQ08PCz3kgFpl4Yi1uP44Y2bY1VaFoQCPmPZogta6Kok6KKsK2xwVdw3q
PmtsHk5RSrRjzH63WWSNA9PVnI+jgomM24kvdGlM8jzAdCXj0OAhb1NMG+tgcdkPOqRnqQJjWSEr
MPZ2RCwBMG2X8O3FxtHFkj8BVT+mgUxxGsfr7TYy7pKayHZfaRDWssPP5DBmlb0TVqNu1AxIK3hg
4qxRCDYroM58XmOi0bqZW9lHa5eHAt1Kg55zNRusWLmOUPIi2wkx9+JFjyUmbwOx5CV1F1hpkYJG
gOzLn/PulIfk4/gJmNtHFWnFY2dVPVcQp8Kl4kYHNxel9ccUu+XOZTi7BSamP9oG97xIFy+/EyXN
/NASBm/CFAZRbcx84ClNuaMUF/aPD+BUewzUGVtGWNrWtDYwWkUH2n3xNiEsatubOpiBYeRbyuJg
cfzoLM1aILmnKLy5waUAlOk17RJUDn0n9qYCREPdS+0xseSI8rXJscbTzeR+0VpsH+/w6JETOV7A
xTERLwiHPGdSybC3WkA97nLn2BqRYQixG/54naHTF4zh8TaOLO7uhQKBZNu9NrGlJUcTEeIOnSyd
+/d73tTRzHlqx2f29Hq5/3tbaOc+HtwrnkWbz6ku28gAIqFDXm6BGlDjlvWtaTvH57yy3I/ughOo
ase9Ysrji/y2pCWtFud+ZY/cSsSDN/0+cVp4QTUai4ZhgqLdmYKnixwOZpr9yOXFbLZ5f+LywTGv
Y9FN5BDVVhNt3lfWsowwk4xEEF212CgIXQ1DmT5ZjANiLzOXVUoboBabCxPCRQO+Bsib32tRr3tO
WHyBX+fum6paNoMaLOxKBguSmGQV7TzOFgsZvUaeYIcjMBDvKCq06FaXkdyx/Bhgx7Wwp4TAx4Vs
Al7v7B7zosVwrdsEf3FJYje7nxPayCppAo6XdUp4ZSttdpCgc76iQl2sNv3EWssz2fgRS0y5gnNG
mx9ppfhSFvm1DLXm4AZTr44kwI6wVoTRPJKFsC/dZSNqFyQLnfLqyB7j3NEKVgOeXeAtTc1xpta0
7mwtaJcW8bQ3LLiX2K4hvwBx+VSTzqroZX3TLniYprM91U54Blb9N/tdhxOvjfrqaCcuM+I7KHsl
6QrdE+S+DfQJkCM0T+7APa8SPH7Bu9tPiqxS2CeAKQZ7pO85qyomAcMUnM0MFT9CpYJ104U+F57d
ctpbidpMPKiS+U4DyRQhz6xIzTVTjLqFPrgrm3wAtZ/Gg5VEaerRPyblhi5MJDdSyMzekcQaN17Y
9nTUdTtyj51hzrfO1NkHOO9sc8SWLSwveDBgkT9AfytPCjLR23hOnYOtB9y9GtBzETkI8J2kWiLM
Jx1xtt0fm2mgE26EkDJbxZpeMrNMYJnnH8zErrMbYCPmfZ1GBTSEdoSkMTfuxsHZ/0Zeg/s5cjjH
tiMJVfPCHq4tO/YdDqobCRiPOQN+Vzl1hL7TmcbSYTI16o02OTlNlMgT10t8STqn2Mw9EzMJzJqE
qfGDSyDIJo2hmtrB+AkGz+JmtD+H9STxJ8vC1zKiV40UxoHeWc19i+uf8qcQa2vKp1dcIY8KCEQ0
1G17cuJovs9nCWHd7vNNKRVzG5Dad0OvxFyHdftYuz3KqkZQGa2J7S5P3RywRKU59cmIwz+kbjj0
OYFXOuifneWW7T51e/OmNGaVzv5U0I6oORiCJiKSuHbWijunq4QVCy1fnt4xykTn5ByUOdVu2QSA
qJlDAW1aEfsM1OF9WBqeURjFTlfaZkuPnZpVVoM/EQKxswiFXbWxVD62TDV85vIu8v6FnJHrPkGw
6iWlr3ZT4jD+gMdEuZF5hdpZcWx+Dhut+NwNBFb6ga4jRJmKeotrv3wmtImRX96Di+X+1tNHoskd
0v8M5ayKmvwG2sB+6pib3rZg1pVpjoretl+UNH+elKVFotmEOg1N024UiDElfADSZuTc9VuVtAPP
clJkR3iT/BlJ2zYIo24/FNaXKgrNtd5po6dV6oKXL7S9xAbxEjQq4Fq45tMzFfGa6rqhEozVwpep
mq471H2PQc2Kwsrf5Gt0VXQ0Yt3eqS32nzxC8NTqyDws4DDjDcNi5EuV0SdENbeCYWHtd5Z6GcY0
09ahlTUANwGvT8klDjSGRVqSL8acuR3CLyz+4QbuQO3PjlZhThkKzPgkQsFZZVS77USksDA1sdg5
aT9eFaQQhK2IQBe0nbTIbxigYDiv14AUylPc8lzEmFCulXCy/SygtroNmUogRmd6Myr/N7FRTTO8
+TCGk8MtbuSlqRxiRH8gGtM+B5FH9Et4E9b5mfZR+6QA0jxiHTiJFGgEm1fwkMPLeXbHVhDuzNmF
GXJdy/ipFVWvkmpPz++g1Nqs9ztWLZeBs9HXIzMlhcop5OAW3AadO1LNLiQitGGl8zEgK6TZEU44
VpLlW6ouVExU/8hjYPLMlqdnpqKuwhaqKI11vFzGR+wc7Lp6n0jhOe9RKvTIrByQacN/Rxk1a75q
5fB6BnxpzdrqqUGjJqLaKsaWQkQQadZ7C9hGHlRtnkB/gHGiFs28vB4pyxFv/cnba/wj/Ies98XL
J4RDR+9d4/DD2XlQK0SgdbSrBBYDdj5KwR6G/djYE4u00RYP2Lgccy9LdlF/gpSXHgZTHy69Obgt
OJDRvaK/p3hHf8o2TUozKQOL3zU0Z6qJOGSAlwXlUlIsR8/CVbOGCOyAw1tqNxNZgfQpvnyrkdFj
TZceWBLXROKSioIFWUNDfrpbtpWXuCCYsJhbWlkrIBsUZN81QH6hg34P5/lOmGG6mmXb/M24W1WR
I/wkhB7cMFYMpGy7gpRVGABy6ltw/SmywcZyIbwWEGvWYmrrl5wYmUvdceiuIw6lMd7vS17Uf3pH
v/qCVMME/WaiNGc/+bG5oVgQNHs2QMYITFFWAj34paO3cm3pVbS0UJdz3KiTr2Di3t5XA4UykZEQ
nDTyj8mkbavlMEGF/vtL9Q9DvMZYZonI1ZHp0oD5yXmPUjXDaBUnu6B0+ULzkinN07xkLTybcgZd
ZuYudWxZoFkTq3EJm/j9G/jFd4UTX+MrQ/eMTEdfpN7ftX3GSGjlrHfhzprIQlwFBfkTfu9qgX7W
lDYKOaYE1Ra+VQQFpgrmgk5mG5zDotMeHbXXzihZOY/8/l394rIwQoR0zoEPQfbPN1BB4C4NajPc
FQqHhpqQTcbMcclpZtG8gXHVqZn7fKasVobwT5yARZL0vbBouRi8vFj+5vAGef3Ha1KQx9IXxOfB
Q8g4RCdaLRG/tRDVE76QSFrgPI3RMR5TO1D22nJwK8wMpsdg1pV+awpJm3alpl0Y7bql91LVYZG8
tYHF6bdYotp+f7n0f8w7tSUozRQafQNTuD8DHCJNgWMw2MrWiMgtwIo6F9HB6ZejTjGxXLDwuzdS
dwblodDnhS6YR6wDMu7nh8kVLE+hAYXZs2bYExD2+FdWJ/4Jz02G6/f2kKEvUIKxSejSQPsM410J
4jcnUroawnU4ABWbZc6rWzpiHrQvEvWjw4Hgy/uH/e/g/s+d6OXh/PcW9vN7J9p/ScvuRxGfgR/y
//ehXTrKbFbLJmWw9ABH+FHEZ+JwV3WcJT8add597IKkLPIOluE6T+zfKj7rL5clFYqtqrOC8Lz8
J7N70+b1v3v4FlMJgAjBcgipkNv5Z2sLstOqFZOt38xIEMN5GxPf3OFU0AlVke2JtF9aTbmdoX91
rKRe0SSfP9I9E+j4Y23XDpVyE/De17JW8k0oQWfZ5dyeyrDYQaDuD049wvkjb/VY9oXyUBdYvWka
IxUnuBvfdS4eBs4cHxIHfDuNZBTqWlUTM9viVxV4ojnCzdpGpyVbrNwhgEtXI6zhfWO9s8JdGkcn
YeTNgZEgY5o6uB/n+nZqS3/ZmhYTvbarW+auDpo+z87EQTPRLvcE4kZh/aWnUev3SdUCWWxIUDUK
eQqakJiDTvU5cb1GCqOsOmuVNaWVtqELNW9RObHZh/pWKaziiWSUZN1WywA1M9fZ1Nw2qTTXbHLd
S6N39ELtnFaEBbDcyAWvn2Nc5UqZnAkcdyehcV7sMCr9XCOos0p1pvKlXMyu1bDDG33bSFfFqZHO
axQ+zPNgCK9MtTIwHFoG/V2sviNKIQirWXvgNHaKNGo/6tKLq+bjuiMrws37HR53nAOZjukecwjj
4FD19UCl8ElQHEfyanVkATPv5ENUaed3eFr9TPah11iKQCjdf85bbDHThC8FstWxYpLnGfjd30F6
MZNmizgGH1apsoqpWVa1JXZu4B46bASek+pYTeZAuUqDBgNHSgsTKpZco5+mjW6GLv6EXO519qJH
CPboLzVn8IFFgxOfNIuEBIVzw6SafoFiFtxpuJ16gfmdXtLa1ZJP1VSZRwI49zQVck+3jNrvW4A/
BoeayOht5M4cWzK0YGlSP5atuDrTfJPoI+AwTMsbpeBYq6lztLWr/GW2kk/EYZrbBI4Mne+R2HLE
6Idad7+adG39bnAtn3tikYKvxMgt4TThPQEEiPpDRqEcfjIvDTvaHdrsmW2mEiJs7Ws90T5Jc9ZQ
prfHSUk/z9Kc1tCsYFHFidxZBU3TeS6wWWTcCyg4a98OK3MXzRixzUhOHt3L2k+15llpOyxL9hT4
mE3JzitlvUX6b65LwzU3AuXJJjCSDw32u1OhRvnGcD6HbqsephDCoFUJ5TGDh0U6hIC5ZWdxfMkH
snCLllF6ki6p6lj9H5GgOr5mu+llxs/lt+18Ql2RbSAFjGs0F4LUciazFiqldTGRJdHpikpqRDOv
VbSBa3a7iOCNVPeBJ2CJsBOx1zjGengoiGqGFtdZA+hbRe19hab8B6KRuYpOYPg67Q1PhO4IAPGd
U1dSH1qJ+oGsEVJfFdIHF2LnBsKf7bk9NAiMzsVDqhjyLuA0ddBoh1grDhMR8wsljdaickij73Lh
9cA/GaOTJ8Vb7W9srF/8RuWmKONsW6biTPPnc4zkHkksp8GhtsNVz7bu22RvnyomGTs7yhL4Huob
DBkHZ3dJHjO6ZACf3YPqxHsqG3FwIL6vzMa6iCCp10x4iMkir2Q1j5nwTRNaul67r7jpLzEjLaYD
d1lfdIzRY41geuVrbs5yQ97tkd4Y5GR+f2sX21GQUV4A698Q4kVEYkMigQwoAyLbcFaaGb/UJZbz
0KGLjNlmZw9UFFlqLwaQvvM01ZFrHVWL3xQ1t1QompPU7U2f6y9ubVQrJ2YEPiCofQj0KPRyG5oo
Ye4qjxq28/rr0NKis2fQ+laTYEnJQEeAc4ARlunDOpUMOmSXVj7+BmcXgU8k9euTEO1NEprJvrWm
qzO22ORhYniZNASxM3Hx6LrDUxYQbggC7SuhC3iwA4xqY5gB2+2Pttk158rRD3GJF84qy4y5Dig/
tbnLooCcSQMqXFDXb03Tq7jgTA7Bc19uTROFMCREokTHLrthEtVsgS86mAthA2R4BVsj+uRKx30k
6nYHzkw7zgI7BSmj9aZzMno8Dq9YzPMjzeL4rsU2nWhsQpMSTKglcKSkWphtmt6yVmpuPSzTMF8Q
Q3WUdbsPG6SkgFoUaBc9SQ4R2wvcRfExS6fnMej7nS3tL2WvM14LM/KU9W4kBHRSNoyNaK7kg3vb
ZcOdGtqIuKGL8cbHU1W3gddZqGlyAnySuVyPuM+mOkZ7hnlvr0XKU+9WyaoGKmKAlmAt7HsytueG
tSZu0CoHYsf6Gx8iOuDbUGGVI30FVx/pLgSa65BlZsPahLSbNuAIiG4wK20b2snTOMQW9jjnUXbt
sU1rZs9K+GYolX3IiixYWk1AhyuhbazSdtaamasHp2KcRqo3YYGsqhvopaU/OhIt9eeMurj7YMLg
wHpHw612i93ETM+sMM8jzh+vHcdbe3G5izbJ4BQCRHZuA6txR4Z4EZMOHjKMolZr7GqSBQbEKhWC
sA9GzykAo4KEgouA1mpLVu8Uo141xmjjycS+GCbSouZjORC7WhwaY2ht10tKBzk1WrksViIC16pm
bppvmcH/La//VF7b4vcA/EtUfvn6P/s2eyk4sSCbimnyf/nf/0cEzfKDf8s8tL/AJ6LmMODc6d9q
6L+VsdpfKOtBz7Et/Zgkpv/FT2goQ+gemd+8838X1/xxuFwW3NQipf0PBB407X4orBcmP/57FbsM
zyKm6p8P1XUT9k3ukhek2OA8EhmVBM8yx6Sv79IS1a3nMR+GE8YXurp99ZyBgd6ro30GzZalXj5H
S/CdmSN+zQv2A/VK/HfISDark01pQtObeyL9Gnq7nikVe8NJcWRYb58rZEsrAknvkmlsXlwjP4kx
OxnKyIiRIPeOphCTrdwCh9k7yAHjt17t4zPrO3Y3u6IIL8p6pSrOTGdRR7yvzsfSVe+E1rI9NuML
dr1phTx1zUqJUaOL39osSf0c9Oya7vnZNqbtyEGVWXvx5qbFCT3rJZjImYQQumEmeYIuc2cm8shq
Vnk0iZhrxS+y6kq/rOdXq0PQNWivWNOea9mC4aaQavLIeEJFuYsbh96MSoeubBc/keKctc54Tofs
xaZfuVHD8aI26Wm5Al1OaD1euDdm90yUKaY3RiZLn7kZ841lKR3G4TE0xotTTLRAKZP2Tea+IhR0
t1pk7pjlHVMsmvt5kYUoY8uFUVXPtOKDvkzwpnR6FJG8jJX5HBnpIZyyl6ZOELpZZzsy6DAKs12b
fKDRjN/KTt6ZGd+VNLoNYBR6/+YiRgV4O3URm4tO51AvuVB61MD0sUhQoekXwTV1O69XBmCFVYyT
dcnsNKP8pdfkuFIlM4yOI4O3vFZl8huUer4bW/Wu08dtH81HzaGkVAb1WNnw4Ic0ejMyfpulxac0
nY46X84O/xNc8phPWJryirsJG2gnMvZQQ/HTlhcawGv6EcrLm8ZKDqWcr41ZB5zCpsdctfxJFqNX
RA2u2TJ+KWiyrjN9wqQyHwc9hP4eNfE5re1nsnc/O7Vx6+Kw9gQgUUkG3WwxBa6n4XGurR1iG84f
jbELWfFxQDkU0h3m1L6fjwgJovWIrQSDjmYc0Ae562nuulWt5wa6A/VahNqrawAUzifSsDpgUpo9
PNZN/2hO2VuuJniuBOlYUFsfjUCLMKp11SbTSwQKQok8TYtR+i7XXSvE2XXN57Iukg0tacTLpr3p
lp/jcyI/ofQYDfHMBEzukOEwmddQOOtK9Qn7lOthx5cEyQbDvYHgxs+mMPA4+FmedLthV9tyONRQ
Efctzqn9NCjYViOZrdmacvKLKrlRiQY75FHderqSGa+d1n6SQyNuNIf2LndNucRIEB5RJb6L1tgn
2nh8CewSOy+ekkxsE7MurgBPr/mkiN5Hd+7GYFoZ9EfBmbioT0y1Bi+dMg4gQpLvFftVJ0E3mlOk
+Y0QgvIWVcTBKcm2EHZ9zpTorijB1UCnuZYKTibmnRZuHetlKmTzWhQ6GVFKEq0zQb/ARqNeza7Y
5HHe+7osgztOQfiMC27/OdFfSygadPtyDu+D6olJ1zYA7vneSOFa9RgHV4DdOYszbL41VbvfTpDe
CQu0n21FECJVj/tgaN4AuR9NkR6+6+n8orn+c2/SWQCEQEZoGgvbst97l9/1a+NEmH0ypuXOHBSs
jn3dLZjKc2zVpznQxB86iz+LApdXc9nQCEBW8VGInzqhrgl/XZCnvQt51H3c3wcd2jAcLxb033+u
n1u+vNJCLrR5MVXH0fnTK422PRkJauAdScsv7oIUWJbjBJaVR8JvW+75N3Xz+9f8sdW07Ii8Jg4R
YThYRfhfdszvrmVoFMCksTvtZGdFlGHDYznxYCuGuRsVK1vc7gekZsemZXX7/Uv/Y2T0/tougMJl
UqIxA/jxtemljvCAnWLXgurwE8wcd5Kk62W5OCZlku5Ud3od22nYpCPwxGRoeW4B52FDlK8R/Jqw
mI89rFS0A9bORfro4QVc6854HJEj01yiBk85bNRlcoIrjpJluIBKvqpWRHd2IhHGgf9IUqO7JTi0
+hgCqfRMh+Xh95/0F7cQqXG0FDWhqZau//TF6lns5qVu0nzT241ZqnfgutF8NfUfrugC4Pyucfjt
26RfuJRW9PyQzf54Rd1RcyZ+kXvVRVdKZMyd1BjTqxmLcCHcxGfgdepCLb+Hun1nd2p+z8EGxNkc
vtUD6/JSqqAYTxHQTUeyj1FAjv2j4oqz0QxbQjzBU1ZEYYchgKt60qfn0NLlNg91Yt5pph97tWkv
RTpdp4Ztv9dj80BPMecI1KFwK+K3IKZNVKQZ3+LklNtJSd6Ccl6SHTZz17J5V8aO8cIOTU3shcQv
LPrTIwfkzNP7+c6WtYGalD8baMKnxqKlY5PI84cL+YsVhinZAvdRcXEhPP7xOs62UtYmgrcdRO33
cmJiZbMqxtN4i3e/vzkolP/xnVkq+xQHFxu94PLr3z2BjS6JXjBlgVJhuIAiOeR4Yf7wEr9YWVBj
ARhb/umCRv3xNSCppGRLq8WudIcKj9GE8SSYX5eVnpOk3HYNZiDd3LmKfh4DN1oj9z8oU/DUJsln
R0DL0+nEcvRMjB0WRTZZl9WpkvkJj8XbLMiNsoM43WWGmHHBEvzRI2i9yWKxpo/8wen4z4Jz3t6U
dCczRGw4Uw1INzT/NnqjRyui7/RtPyHCUfX4zSq4Bes4PQ1TCn4olIsthwJVG6l+wRIVBX2jQe0u
ZaFHa7rf36T+/5ZUbf7iieW7YIoE3Avg8s+g5sXtPJUyL3ZaxkFhiPLYi7Fzr3T0Gyct4grElFs0
Yp1zbgkMP20DlVLLb8nouTpBiuAH6OdmDOZx1TFe9FEpPAOIN3zE48yrB3EOENB5fWCdI0SNvtWw
ElUMzX07kVdVH1/nVl3FdvzApJyqquYDN8pEkK56lRRiqyqIqq2RkTVYjZfQEv0qoaHI2Z6FrxUD
cCIFnmEeZO5Wt+arWzXDt2Pyv71Iv3hI2DOWvzSDwcfPA+UxrJlAjEOxGxFcUOIw5h95OyaunKAK
//CNQNX653OyINBY1hClL2aAH+/h2jQko9u+2DV4sdYacT++EySHgJ3K1fh+5pJbcpYckDB2d6sk
oQIMM+QdFIB9Sc5CWcCTiulLrl0MTRDD2g5xgPO5TQEODc5t5tJyJSchWU1FafhG1b7myXyZMnnM
7WUz5jYLjfQlGJcqFe9WMqsnUqx88il1j3J1jdvG2XR8pe/Hy9mcDD+2+I0ucYNC6fiJahw2VdB3
q2zuov2EwPj9EBQUEz0XvJGHAnlj3HGQdNIQe0/NUc+ax8emg9QpTfiYxvBITNcdWtWDYVCtaXbv
o2aQdIJp0+b8l2BYbsiqx1Rvksi0PEbtZJ1Le3wU4XKAsFKF56kCMVtTLWG4Ok01OBi74nc3ivVc
JxaPWBfUN641vTZd548IaBiKxicY4LnnTpTiDHufk2hAymwKnGoWedX5AZbRYc7rGgMUD3DXZQcO
xds8YGchX4gbk6dDjN0p06xPES70Q6pZZ+KufIx50lsORhOxA9sRBs8R9MUZ69SzzkDjD/ux+MXj
Ta2DSRdkNHfUz2niNDaTGkFivmtt+UqP/tKq7HsDx6zA4rFe6q/3o3a5mO06l0rv/Zkvom4jx3Zc
Add4LercIDGzIM2YsZUzNIbtZ12IslZ3irU79XKXaS0xG3FKizw04zXwm/AVU4N7QoQW+XPIvtiR
g0trO6PKtwEKK6wxSSevg0G5pTZG5Qk17r0pBL6QOVTWIQdD9sPIoOOeYEwBLtY/dmjmSVhBM8W8
jn57dhr6/mJaS6JcBk89boCm1eN8zKMR0wPeq1xTmFKX8lW0c7VpkFvZnA6Y24nzwCbCIbN/NMBi
LNV8Z/+9v/63w/aHDhtCCo11698PsB/K/t9Yqf71o3/32Jy/LP4o+m5C1bArcYP/7aQy/jKYbiP3
53v69iv/Mp8b1l/MrZko43ESpm59N8A2aL+x11k8EqAo9cWX/h/02XCs/7RWY6FSLdWkpOd9aN/6
cN/VND2W5aJJ4hI2o62NaxdoH12IIna3EfSGjShYyD0IGs69Szohel1iN8+jYBEcoL1gvTZ6tO5B
bDyJNpJ3WGWLh6EVwSeIkJhlUJ5UaC1na1c1i5QElqF1jJfjGX70cvLGKRW53ykTLCrySVzjhjof
961Wcl7MTMuANlFn9bp245DIYimp8lKGbZM/D0nx1uY9Ym/bleYmVVrzNtKS6S6NAtNTSvoBa7VW
DBLlichd8RUUia8YkU5019QyTSilOJFoCZ2i0zGe9LlhHMbZMfasmmqxJn9wIBmBN4UPOei+8irE
TTdmwagi6OE5r5yqxq1pi0x+88lMAUcXL6V+TgFvjPRhVArXNeLZ/C3mC99ZaGruRGFhzNDmOPgy
k2cE5wf57lM1o+L0At7Zk1lZ7VMxqunFTVXmWVMc3Y49CZlV65S3HXZ6eYT6EVq+iQwyAkduO8jc
80wLgNjUODWJl3Tup5T3VbN5sE5pATnpqhEzajGTyb4n0LD6pIWOcxdkVDIr1nJV8wPUDoWPyL7c
2E6Oz5+Q5omcy9tUq907C+BqdJOAW9q1XL/NUNbuTSbiejtH0SJDdfXNFA3Y1iDylg9owJ17hXME
pxSo14yGLDCf7EnsMdguSiLqkPoaBwVM/H7q7fI2bWokP7NJzpuwE+1gtkyvUGX2JnuzbrW7Wck7
PjMMdHLt6s8j+9fHBu/cU6WSc+S5tL6EZ0FK+KIpOZgTUjuALI/SvZ8qhNOSXfmBPSq8n3D+hSz8
DT0mC5gdDbwW+Q/IPYTGkTK+OAjKvRQuzE1VGXa46aUKEHBKinhHtFw373HVc5iKg1650RHNjjiE
7BxjBYpWNMw4obt9ZKUW48Ox6i82LfP0JjImVPaOohkrjc7Qh0KT5in6pic13sWlMLsXpal4l52G
oPbQISj/UqS+y1Plu1S1XlSryruAFeYdYtb0XdiKTGxRuSKWcTZh865+DehkdYfuXRabvUtk9apF
HGvxV0PCNSpaOwiVBzmSBqCnAbFQ+XCMF9VthPw2WHS4GRWF+5p80+fq39S6Ya7a8OIXFa9lqDFG
LYS+6qLxDRa1r7rofjtDzfbQrMdr3Omxr7hRecLVVKP16C7Joh1G8kAdTGIiQYwp99BViCBknrZo
joldDLZlw8xoxTA7rzx10SfHi1IZUFEIeUlvkS8XvAdiSWJkzUOv977spumoQBHfAw23fOkWl3Im
lDRpyZEftBbhSzkdxjjp1/YUZ7SWI+aBJQ13xVS+oL9Y10xPPUjQ28lhUCtjXVvRWbfPmKAeMN8B
8gzHLTwH66o1C3mh73tq2b68HR31Qt6FzkiAo7DSUjeEJqqGIQsYBqO13SBX9NrEKo5qUbVfE2mf
1VkPPgKWG5nV1dlDIShuk6FsPWB1TP+gbd8RNEFk16KlHWP0BKaYz3HtyG1mqp0XRW22IS4dZ4vC
T2n0A6BcN2WFoH3+WAY2rdLMvp2r5kQkZ+BVOuFbMCSbbR0UzSbB2H1qmmC8FW1G8nhbfnZZbbdF
rDnrOJDBBhVX4jFBJYNeg6A7lxQz2TAoS76AdpQZDo7eDj+Vsd76ocbJJ7WxLYAbKylMyuYJDue4
U/Ow+0C/p+PGGJVt2ExvfSPIG8Ubse4aFM8DmU6fjNRS8tV7mIxIzDxB2a+r+15wWkD5Y1rHAnvo
xnWhz6+qEDtU1afmwSFQwZsUxb7vq8hl3MrWlORtvO0sM+euELN9lm0NsQiZI3F+Th13F7etg6tb
WzyyVh6go+kjmK1O/bkoCS5dzVOcPleo/jdaz2E6iHVnk+Pe2pYAyD9WY6A+uU2orLsBL3E5FvOZ
RHUyTeux2eVG7twb/MIJYZhyy1H6aqNoVD3NxW4TtrM4N9AgiQiYulQ7WFMS3rhp7hCtVyA2zrq4
t71Up2pc1SKefXMEj2TB1fQGXTPOBjDVFVLSqVkpFbJruwwc9DZ2elCakCDkKuyZVvfKtavU9ok7
rqj9uB+ro2o0i36ivKfZr56NJC18B0yp6DNuAxNYyKS33rQMbXSUJauhNZV9E9jJV4Mp2ldcIfTh
sIbhh+sCBCENutFDQZvE8BJZg6uyYu1DCUjpErkpuQBOH65JxXNu6kD/pLj9WxwX4bPQBVxKWahe
a1ofCtNS8KC0EBCMdFgNwEN4lOrgQ9iYWxqsn4iofXX02tqSXkEGdDAPnhHLZzlI1+8ypBe23bzU
OfDPwVD3MFLSdaPp1dcQFvsqTZTSRwSY7AadkZynoxNiQBFodxm+gXXajul9oYlzEXbFDS2+fp13
OlR5PYRS7Y1RM1brVsvn86LoQ8TXfiGU5JExBKUU9QXdGAgRxoCTAt+kz3QRjLa7LK5wR5Zipna8
7v/YO7PltJEoDL9Kau6htIGki5mqsYmdxAuexEkquaEUUJBAC2gBxNPP15KwJYxxbKlmXFND5SaA
m9bp06f7bP+PV3cCbzClZsEI2vv5/Laj9MmfrZfSd0fRqUp1Dd2O5OhjupJ/gslLDZRLM0lH/xbQ
tzZY9ujc3Mwl/YOZQf22kFINFhegbaf4AqCTfACCbYTtXCzeroDxHRjTFeQqm8x/r64W4IRRLjDr
y5/ddTa/9NB56EgpKJCjmFDDLHFOgRE+j1be4kOYbD5pWyc+k2HaJrMpcIln2wkNWNppoqbhJ8L2
q1M33iLrka9mxFNgVOiRBqIFLfbP4ECAObJjjEdAwdD9NfomLXvqkA5+OhmM3l9LOUGvemNf8eX3
tPWSaIO04wI+ivAiXSq27q+BYpEnRD2XzgAmiwVd6vH6nbEAMyTWYJ90l4CArIy+c86NRf8od7Lp
wPHWEJByexwqgT66iQD9j1h0uG1olZSunSyGZlOn6mJGBm+QORuKdeSZfK0uZp8380WfrKqTwrMI
dd6JrgThx9RJQQvCFdRhWOhBJUmh4Ma47CzjPrgZ2y8JraHisrmUg2GoJ/Ctr028vPAnUG9UTfje
idORhqN1PNx6ggQ7AcGDGp3Zwv9OXpSyjXhzu47Tm4WcDJNOcMVtjXKs/pZIW0L3FzwN8HitKBkE
MtuhRA8askFPdXukqnStdxnMDOOy7y9BIaPzRcl0MJ0Jc21vlCiY/4+hUZRBPOX4AYV/FHLsaxb6
2KpqVQXlE+JvSo9PzuFFqQnuUx0hgUSGz1W6fMTKBPKoaaiqSdi/ijza60rkHSjixxfrw/hHYHhX
ViF1idwR4JaoiKCYmfDdM1y+vSC2hO8IcgcoHCLIzJVQBFwqDt8oXcvo03J9nfqTaeyxh35U3OAD
Ob+98v4HP7CXp4o2qucvNvyAAQoYgKAnqWm5q2vXPHXK6vpH45p5cLfSu8OdDxZIik1UFbeD0pO9
SGMGYZQHLocM556XSYLVE1pybp/QCCh0Kn6Pc+Q+hzMykc6lRQ7tFxLUBuhPUiW66yfhMjT06XCa
ag4B5nNql6VzEl2p7cIQ4fqXaaQJqitJ0F55gOKPolsDSqMLuCHD0W22TM5mCpRZcTKjYITslQtQ
0WgZJKeKoNkyVMG4paz6lD6crFeqCf2u5y+dOZBFnDMRJQfBSg8HTMInUN3PlFjcyj9EsC5+zjZe
euGNltwHtisq7s7oYPRU/0JPCHyBcLq9NmRcjO9AiAOD1Zn6gE0kSkT3b09Th1pHX2wvZonpdD6t
aazVgrfqajoyQYpN5rNkMwL2OXLj83zx/zPhovJBBJ7w27wo6q/UjrKPNn3TSbzbVeLTmxAUvdvw
ZV86PlBZjvWUHRL9BJWddzepfMbHxvAsqr3Sif37b5re1cjOED/S8+i/oD/x6A4oP+6Qvgb/kOw8
6XLqboD0qa723S8eEMPxJyzkefw7tScY07yQiHWYumFQtazYqF+Twd4I9zJQzS6d8TSPQOSZv8jE
VmVg0iwiG/TamVoho+IHK4rymCocf75ny8ACUSgYuBR+u+OkKgP48URfSS0Umc/pGZqgEIWE6QXD
XwhBrHRVCobS1Qxdpaev/AJSugco/Qc14VEpKFC/Nt4PCt0/sBXjhR/UBeBAObHJNNBSl784u16Z
FDQm11AXNPBQuWcYouqzeNV1obAKBobj3zIHjyqBqlKa0fDxCa4Dimiaglopf7G3aluh3yXRpND1
XyrJ65MCndu/aBb3JHlvFjWti8mjUpe75iElMMwuXK+YDPO1GgRKkEU2sJFZ1CQKoCkVI8vymBRE
pTP1ObB+5a/XZhDI2SqFlSpuzXem+hmHA0ckzdS6TnLq4I4QXksfJGRFEYh+r8sgoqAUyjVSAlXv
Kj1wa0wZ6mPxYsNXDYIsm1DF0bJMSvB1KgHt8HJxYL9cCTAIKpX2OtuheEj2Vl0KWAyBno0D+dqU
gJrIxnsAUG8T1mtJu7f6tceXgAoXqAP9V3gz4n7bdA9gAnAESKiWx8GD1e+z+j2Q0stT8xmH4i9c
pe9cr1PH9Sa50+Xa8SHf7LEv7C7jDz8vHY28+6WSLc+/KHyw4rftO3zVP2pnZo7RX/lwh9lf/fPy
AR/+9MFJ7d5859qRFY2dLH/crJzmteXjuP3pWT8s36p5ARKkkjWnqTbPyvo/MfAeaw7RKqIm90/4
+28vGjdyt2EdURYWdLSy+cBzK4iteDeSWEaypahf05FPLY+WkShwa2IuzpPGY4deGFmTcDdLMevC
SDUfOQjsceLSzlobnJji7v8HAwt3J+Qx7RjYnrW26qyptGG1IOydX/sm/PnmFDgh/0dd7BQmtqCF
Z0jdndTWs3Sem4r93A6jaX3KovafW3jTkd8hcdfdjZOrN/xQHGdNB34/sZyaApa3hMbj0qpFB3d9
RxZ38cZDBxM6m+rrR98DDlrjkcP13rCmYFVtOuzFQ9tE2XYL++WCmaXjebabYq4XIlC3e+Plm/wy
TN34gZgpNW/heLkCjsveTbEw1eCg7t54+ZyvLICr9ltZqYNrYQmvrDi2xk4a20lS02kKsrQ2ROKO
HXdq1aOauBQt7PArl7Mg3gfQwUtpYcMA1ReLf4tFzTYpMjBXLawnQ4dptD90KxMPg2TPhigyDSLN
J32Mc/Du9viy69O1vbLq5xZpKnGpb2qgniRDbzzx9ZvH+ZdaGPzK3rjj2jFGIFiEw9uQzDdIlHYj
CWtVxpgbD/0ky0JTwTwBntVw+KHj1iUO4F8LRnw497iR1L0asATNFozsMLIBaK4tZREob7qUN3YQ
xJm3svbcBIV67Rbm/RRMQ8OF/PRkjXorP/AQxU2UwLfgj9wifTuO7dqVoswBNF3ZW3tT9ypVJt2C
xf2cWE5VEcsAbdPpfrEjn5OtNjJHcQuG8IuLZ7On3ip5gRZ8m69W7FAqk9S3JtF0kdluKpGvdpy8
OTh5cngtKN9XNx6HQezWzIpapF4az/3xGqKjO/JQpOmORvJh/GmXgz70Z/XgmvjG2LOt6I+/AQAA
//8=</cx:binary>
              </cx:geoCache>
            </cx:geography>
          </cx:layoutPr>
        </cx:series>
      </cx:plotAreaRegion>
    </cx:plotArea>
    <cx:legend pos="r" align="ctr" overlay="0"/>
  </cx:chart>
  <cx:spPr>
    <a:noFill/>
    <a:effectLst>
      <a:softEdge rad="2159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CC6DD730-53E8-4C4C-867B-29745F54227A}">
          <cx:tx>
            <cx:txData>
              <cx:f>_xlchart.v5.6</cx:f>
              <cx:v>Revnue</cx:v>
            </cx:txData>
          </cx:tx>
          <cx:dataId val="0"/>
          <cx:layoutPr>
            <cx:regionLabelLayout val="bestFitOnly"/>
            <cx:geography viewedRegionType="countryRegionList" cultureLanguage="en-US" cultureRegion="US" attribution="Powered by Bing">
              <cx:geoCache provider="{E9337A44-BEBE-4D9F-B70C-5C5E7DAFC167}">
                <cx:binary>1HtZb9xI0u1fafj50p17Mgdff8Alq0qbLS+yPGO/ELKtZnJNMrnz199Dl9xjVffI04PBBdoPLohF
MjO2ExEnsv7n8/y3z+X9nf9prsq6+9vn+Zdntu+bv/38c/fZ3ld33fMq++xd537tn3921c/u11+z
z/c/f/F3U1anPzNCxc+f7Z3v7+dn//s/eFt67164z3d95uo3w71f3t53Q9l3T3z3h1/9dPelyupd
1vU++9zTX579/eLZT/d1n/XLu6W5/+XZo++f/fTz6Vt+t+JPJTbVD1/wrBDPFTdGckXM8d+zn0pX
pw9fB6F5rjkzUhpOvv7j39a+vqvw/N+z7rOru6z+dvmPtvR1Q3dfvvj7roM0Xz8fPfpIgqOAn91Q
95vOUqjvl2e3ddbff/nppr/r77tnP2Wdi483xG4T4/bmq9w/P9b6//7PyQVo4uTKd4Y5VduPvvqd
Xa4/PKWEP2kX9txwwwTn7De9f28XLZ8rfCMVFUezqW9rH+1yfT/99MH54tvVf98s/3zyxCqbeH9B
q7y7fkoHf84qXD4PBTOGhOHRKuwkWtRzLjhTVD9YjX5b+2iVd/d1jRi4v/92+d83y3ePnthlE/Av
aJdXb59Swp+zi+CIllCFiqs/RDHKyHMpQ0r5iUFe+fvU/QfY9e25E1NsMv0FTXHx4r9oCvKcMkFD
rh6AyZyEiHlOBQwlQ/mbqY7J7BgiF2WZ1S4Dxv/rFPfH+eSfT55YZRPvL2iVw3/RKix8LpHEqXjI
4gRx8H06CdlzEWouWPjHaf5QOp99ufvzRvntwRObbML9BW3y9//7lAr+JGjp5wKIJHWoj5GgH9vk
CFpKhETQr9nmBLv+ftdZFJ79f4Jf3z97YplNxL+gZW7f/fcsw81zzrjWisk/TPOU0udKh4wxdVJ2
3fZ39ql9/DFyHZ86scMm0F/QDvF/MUK4fs6kUMpQc7QDIuB71KLUPN9qLU0FPYbQN90fc0l8V2a/
Ol9nd9+u//v11vfPnlhmE/EvaJmL3VNa+JPYJZ7z0BCNTH9UfHhqGfSV6Bl1SOS3VR/y+5c7675d
+vfNcXF87MQSm0h/QUvEr55SwJ+zBA+fGxNKScQ/W45HMULkcyk06rGTzj12yOl3X/4DW/zzyRNz
bHL9Bc1x/f6/aA6kDqmEkPyBT/ldYCgEhuShfmghAWnfl7/X9+Pdf1JnfXvuxCKbaH8Bizy9xe8b
gUd3/kmuC2ldEtRbgutjOkFEfB8qxjwnW+PCzUPrIh7b5oSD+tfb+hdZ/jGF9UiS/08E178mv37j
CHd3/d3+K7n4Hf/19LffiLOTRx81cI+k/abWiy+/PGMCWv6Nstxe8Sge/lDnvz13f9f1vzwLlHpu
NOcKpTQIACoIqrLpfvsKxcFzSRkIG8MlSokQ4Vg739tfnmmKSBUa5mYhZchSnRu26xSAyplEXqMo
LAyqi9/Y3NeuXEAX/KaNh79/qofqtcvqvvvlGYdPNcfbtl1uK6KON4pyphU4CoYNNJ/v3qJwx930
/5Q09zWdCnkf0qQfzJ41ognKmDRjtr6XcmiKOxF42R3qdukWsevZLO0cBy4hn9LaizqIHZsLfWms
XIZdYYK6PZ9MVXYvS1k1wRK5YpbNJ1n0+ex20FWZ8zjVWtB7PbtleFvaWZd3YSib5DOveKuuU5W1
DY8qmnXYimikr15ZSvqp3qWl9EUTuUlW1QuqlxZbTquKLles4nX+a9CNDs98Z9I/UBIanUc6MgRM
pwFsmq3WYwQe8b2ONK2ywSob3ieTq/P2vK9EKc5LMXZen69d2mdTvGYNir2SJBlLDk8vT8HaPV5f
aw6WW/CQw1LYzOP115yHnSIq+5LTghdZ3DsuuY2MYUGbH/w8pb7fedunwkaBCNamfj0JvnQspmJV
E7/sla27InKu5Z5eGxm2+O7pTcKFv9+jJpxz8CaGb4zv5paP9zjbLGDW8+CLCvxI2C5ddarbQxmK
npOo9r1SHwtJkh7Dg9/C7ce22dYVRmiGVoiZkJ+u2wyL0y7g4Zd0gc+paCRN2f3DioTVaTTl2ZC9
qhPMUfrIWoeGKXp6ebBFJ2JrEYIwYkZINFx6U8t34ZPKMQvIbPmXQJe65bGciJJ3CKSgv3Brpsvr
LKCOvuRFuww3RUfIaiP0zSWU8md3gpythJIhMQQpgjzeidU2KfOF+C9CTQi5w0LVSouD9NPQiX0W
JkJ99ANU0EadQm/50ZFl9GY/Zo400w+sAnh6rBbJQAyA0lRSwTT8xBt6lZF8Kerkc2LWWvoz1zZV
suyDpOrMcraEfoaLPC0/PUEyTaQhILe3QEXtz8MTBaRmzaVp+uCTzbyugvO5t1tAVLOzmNYMUy5W
EWdVt7Ammg3jUITMiB1uqkblS1wH1Nc3prKVr3etdJ69rcas7j49vc0NT7/DWw1GhQhBhKQaGA4W
8rGZhikJPWnX+dPsew8nIENBYB8yT1wG0ez5GNw0rGi3oOknt31kTTr8wD6/UxalSgvFiTKh4ALQ
9ngbYcu6fumU+1SXMgCG50CvdYrGhfSLvOKJBO536eCLuyqXNRDVN5Wn8jwM8mAsotYCbTfkXyye
qrO1HK/EXDSu+gGs0NMAQw/NlWYbnQELK3WSn2Y+1Y2pV/6pS5gKqn3ed005vG7XPmvqeGqXFpsL
dDXiO7e0lVt2YbEuwc3UNMlFZ3yZp3G1rmS5qmxb90lUG6KSPh4kCcq3qjLpWsWMmxmQyIJ8ofUl
WU2JtxZZMrXtD8KUooB+5ACYvoRGGUVAraEFlSeIAc+s27Eem49aOpnLuCGhhCsmyWCMj+mqA0B7
shzRsxwEvhu+wklDkxBfzVPPVXsYJv7jGBKnKM5QbRgEEqUM84rfuUUxF12VWNd8bDyiqN3zrgjF
S0YtX654NyxQh0nGcn1f2XlZdDRYP7U2BuBP6m3arklw7iuRr+99MHTqOszUViDMYqxKc1YMcjOP
67iBCy2jluPbxufF+n4tVTEVESnLLWll0D4M5GpjcZEvHpVIWM0zbMdlvuCjW0nah7tGdrw7KD1s
tivmNEOB0X5d3oRpsExR6OYcr3AoHrDzLKi32qBvZFXczZ2q2+ZgRk/HG8Hd2r/wvkh8VJaVZ1Uc
pEk1n6cCyfVDHdaJeD+SkcLJdJiizhjb2qFEeRobTlET2tdEa9T4QivJ6Ylr8GSpU2qa8uNKq86n
0cyIbrpocrkrL/jQTgCKp1c8RSOmgUWMIm9Tgdx9umLnSWenik8f+DpszjgNYoM/1ukCyVuNrVQf
k5yvcMKJDX2XvtQAFvjp09vYytlHQcG1UkwjV0hGmECV/BiOVj4ObWBU9b4SddXzqHeDDO5da1ug
kS26mu59ol32euzCFIjTWOnSfRr2bHRRqPVUjlHP0vaqTEJ1M3NfhkvUTVSNb/swIFncynV2V3Ai
YqOciCRrIpEougW7JfBDN1pUFxdJXvRb5I9ooF+BX9XNEvHC83k8e1riU1wLORLUxs+yr9QHeoLH
EhcqsfXUdvp2HGqCIlZ6z1DEjuvmtwJFlji3dJrhtnNhOD7S/mtlG6hmc2k+5BNLbpJZbS7N2myt
/HnWML5BZLt2hB7acmy67GyVS4GoS6Zqq6npElaITk1bhNHTIrETZAtRAYVIm0A1WJBScgLVLa+r
1eU1uw17yxFbfZNuG+gDPmyh+zWOQRIt2Fti5y3EgZUbpPimRaIJLEUZT2e5XXJt0RV3pcm1OM+m
ctNDu0xOXSftjLsyyzcRl7RS3aEItOeHJvQj7+IF+QLi/kC0kw4AohmK6RNFqBApUO89tlY/F1SX
g1tueTpuSNX7Fq61lmvmPvckLFgdLb1r1/ea1Vt+rAJHYZBZVWW67NdK0T49GB4M0y2qVA91TDrn
8D4+rkCTOgsMXExMZbOh2wDYPM9YMwHWelQkWDDrE4K/0GNRqKJKBVTR99oGfSzLIUdIWMNy/HXU
zwaFxd3TSjiJ0RDlAqorzWSItpP8rtSl0yrUotrg3VhpB3Q4lrfMhvNYxOgsbVr/CBZO0tG2pOAo
7AnSElGomh6rneQOVWsz63fdQOEh/dL3cCjkfuhH5I1wcp9MgZu7SJV8gcLLMalRsgD0oKXJz2X/
WqsuTPJD0osQYICAHN96sC7IAFWAwO/nGonqwWxpO9VQ5VyGNWIFUbSZIy3mzRBBnlF8mCU341vi
KoedyKJAbipUv/WpT2tbGA7hvqsUIfyWBAASFOOD33dUKAe7ICXz8s7aRZVJ1A8Fb+JkIkl+rdgq
/LJvrVdNGBnGTG4j79usvSTlwGcZNah2giufVoF4mVRW87id3Jx+JllJzqdkEGpX6NqVX0Rerv5t
5VSFg2QrLadXYqRkXndhXhvZxC3qx244TJMMx2vf2mR2kapIRV9w4qnZ1bU3NM7nfvBJ5OawXfPI
1qMXc5zOxYhgGFc/LWU0BzIX+cEwOogbVfaLSGMy02EazhozWZqgfkvS/qK3GpVZrNdyWle0tXDF
5mIulmSI2q7J1WE0OuU7WQXz+m5SjmXvB1GmyY6LntF4QX/qlkilfWd2JmNTEaeyTM814/2udWRa
rxJTE3JGJ2rZIQ260JJ9U7hK3C5yTIvg1jgyz+/mfub9y6Dr6+AtMoYevkivlL9d9ZjWLmqco7Z7
Y+a1LM6SDOzGYXUirFxkCseZjbVfuzb8RKs8rL9Y1rhx3sFVlvbeDP00kbgop47m531StzLcoQ+Q
pTpLqqBQ14bqoCjORtWwrrT3Nqx5Dy3PlIdevFy5G+HSK/VdY9/g6FyvyL6uRdPoi8EkmS1f1HIu
2nSfj2k/jS8mmaRZdkhENQ3ybVIz3l6oXNg0PMBXFC+iZlwJ0nrZhdlkojQQqu13NvFrvlxMaRfY
7GzKKmSbuDCTAMCOTTbIf7hgULK7gHNMQRJPHGULvR4aVF0m6hcezupVybTGR3+8GGRZie+IQVfv
49V1ov20Dq1h42WufJOyczoHgdbxksti0GdzndOqjKQYt7xIZJBBnJRLJJW7OVlwajDOpTUyfbVM
zdTo13kS5FN50AUPWHNRDIsJx1cq5zIzUWvMxklo30tbvNdpkgTrlRBlB00FSwvIfgnUbq28Cnji
dfmCZm1Gy9d5PuVhsp9yAEG6dxnl2Dsga9vSMgYlYXuS2iVrd6Qpch/u6p4Esv4HS1mN9aq8NOZ2
SMO2jT1ab2iWhUOGDBJTZbeXYP8oWaK2NVtNL2wH6ePG0pqrQ26nTWO87At8uM72wU1d6Q3yxdin
oY7N1Ds4wFqj3jjrja9wX3MU1fZyhfraXOMfckmXYLXSUjSZNc0289BGWCb/Tst503MtTA4uKRgC
D1MEdRFacd+2aGjag88yVFrxFNJFt3EWWjkEsKAY2uF9n9dDVkNfgV3dmR1WQeeXYa63LWewdLPe
KHgWVuD4qv2UBPPmYMoHm+XlEuBaaapNNeNIcStSbNhO2MOIw52Q8UEe7zlvP4Fws7gm58apm0KK
xPBYTAYEUNRoS6GLB+9J1s7glToPNuGSfvmqjAFe4+OHGtfIVW5/8U4WLznJfHDzoOrgePs3JR/v
A1PAipeaNRU2QOvAjp+KTDWZP8tqvkDolq04vxuljKcZuUEDnjoTyaOh3Dr2cDV03oNPL2pqlkRG
tLDjol6ZanDQ0siqErewBhybj0FzJKOJCrJsRW9aSYaLpU5J+8kcNegaRBBw7SiTZRl6tLhxtZro
+TKEW3dOjqY9uodKihL6USLDE3upy034WS0WfppSvy1jhVW4uLiWaHu7BpkY+ktIyjf1Hh1pHZYB
u4SQ21to5js8h8kGh3d1vd22flRosE4r/nAld0LvAyLrIr9YmdRzc5YSkEhkP2WDQ0ybPN2Yj26C
fbNRs/YTVWkN9+kkKlYI70cUu686cNnbC9m4fYgxDfFR1mQLh2qV2/7rQaV2uh3KtEyzQ52GeK9t
OU35edEtmvZX/OgrWd6ZXp89qNzko8d25owXeAkygMPieZMVyPMjbVdFblG55eG4a9qgr7OYdGmC
xWVuMeLf9WUDbrMEYQDKBmayw4V26RbOA/IrrhXLoPLwUKBYnJdLbrpydue9cKSq4tKIshqjpEtB
G1JDB9xv+7bDB4pGWV5X7YD/l2oCbyfJREEVteDyy+ux6BOQApPPsTq1qRvfqzqZ0QUky7r5/mQA
5flh5i0DwoTelkO4Lyuk2Go/B3ViugtpkKrmD0TNOfAmLZ0rivMHOjnvS+vzw2BL9LufF9HhRPB5
k1uo44x/jZnWhSUU1iVTkazvuQ3d1N+2fLKTOu+Pos8m7aAi3sxrAYmKdOrkXq2EAuV6Lzb10bnZ
vAZ81ebiR/407IoJGqAD2+Tts4zhw8PBcX+bgX0MoqxcwSsbwYraRKAsFlW95A31uEMtdOthRzl0
8KsjybJSWfrkMNStT9hFmrQr3rEeqbcEbTlYw1aKAhRlQgu0vlWF3qmO+xLEhLyqCrXFUy+mDCR8
WoQ9oJKrZEHO6xYgTX5AZ7spb8j4RhWwISzAxedlneJxv5SQ8sOE8iwJLqek8z67NjzfSEo3IN29
1EXCVf9GgMZakv2c5MFiD2pqZNntQF1QJSINEkh9FCmnaMmRDA2MvwZihVSqrra0UclkczfPPIXz
HTWZ9w5MNM9IxsfLaZVVot8U6zAFNx7FNFiFtWmN+gi8hX8FU7NCA7kgmwxJUwcAf7SXG0tVZqhX
UVmbyk3NR2UW29JPYi5Vea1U2yzJQTDX9cGvU0bzOdkjo/FSRl0J/juIw5Jq/x6M5FT070ja5mka
J3Lhdn47adQ27RczZmPLPnRJCGrizBfDWJk4YGtXvF/FwISLBmSHGc0+pQ41pdbSDHSAl1e5YfGI
i4EeIz1hMjXvHiQ52rJtchDEMWbfyybWV7gpy3HDP7OkG5qg+t+CN+uq7Y76K3uf5Gy7JikJcMeS
LtuNCQc7Ue3RuW+zjaxMGoRyimoxuV77hTb7HIG6RaWptm8eXBY1JZDISAx7MAL4SsFvcBqksZ8X
z3VEmSfh68HqdHLRRGoQ9mJZE8MuprbeojwN1o0O7DAnwodAWdZftCuBfwuC+cM1eMtt50WGSePH
h4WkN0hpLVwluDl2bHWWr7qI8roZxJviCFjFkWhsQ7qR0UHZbiRk55UXYlelVeuSyLZqCG6GTDaQ
uZ8wxRsvM5ZuZZwVM9bQY7lta/gacIErkEeiRA5bkDdsGzPu6mnefFInKyuySNqurqq9zUtE4+Go
EPDAG+gVOKCL94qOBvmVZbzU4Q+Ir5OGHlwO8AEezABuiv6OVrY9Zgjgq9mNdU5h1zpNZ0TD5ACz
bSC2CCpHEC82GrN22/sPurvHvd22vNpmNWQ79Ir1TxpbP8wumDoNquoIjTk4YOwCfQAi6emlTgh0
RBPBcQKsBcoK/6utrf9uQjWFRRsmKCW/+QgpZufitkmEeKUNZlZAZGU3ow5ZDgs74QVM9gCOT+/l
MYWAw4rwn5DidInCOBx+zh7vJRk5A32bpzcGUzX1MZN0q8e7Dkd/96tD6fwjPf9+QfwaAsSBCg0D
uWhOeMXCekLLiiRv27lGokgLZPwLvRSAuYfIflpAutF2/2zaNwnB3RKpKQsZxTjqZMG5zEVa96V6
+4AYk1030n5RfJHyMIsuHA95k6z+zTDxJd9VQ73hOfeAhqBbBfLRD3b02NOxI7RSoUHy0kbi3M/p
WGwxJJj0wtu35TGoJtR1iPF5KBLgehaOGUxgxbAgMg1HckBpEdhtI3nD22GNxxad/UFW3EkSzYCW
JQbUt7gd8ZHQ62zh6Cfj6TjPao4w+7QQp2aE4QThRGJigrOt4emUFXm37dkcjNe2KzZkWr8WQk0n
6+HNEoSDwGnup4bKf7SeJDDk9k8pdULO6hnVCAvJcP2Q9ubUtnlEHJDVRb7L0j9FrUkCyp/ivBUC
A8fbxe/ggE8JmOgxy6+PaQlF8mYNXZSIi7prt4TxtIAbvnznpnAIjJ8EIhDnUQQYzRM+c1rWOfOr
LM51HfhCxrqqNP+oPALmRyH4+6VguhATPPwyCU3mKdRVCauWIVXp+bEUGSXYEfgRayt8PC3Vw1GM
7wQDV4ilDA7IEA4IwU9uHiMMIZjL6Mx2Z35lxHZ7JuftNMKA44mD+7Vba8zQY9el4FZNVCUrusWo
l2lPqytkaxzBSWNXNGB+XjAB7oG8rhKZpu58QW0g3XUyZwWdlzhhGDl96Nq2Qhvkcybqdl+Vw8r6
mDiiumoXegmq7QWfqePqtTnO8wqFZoS/SuqKtvPLIrWjwZGZYVQZBSeS46jGORoNnVW7MsgbmOKh
QNEBHrNRcSwrUKGHSBbqK4wdW41iIoDuyVYM0I3WcCsDppEFKGgdC9En1GzADSix1KCveVduxVxw
rG0aDEcR7aQJ6ZpFRddXdI3qzps626lGl/kQfaM8WqRNGz0UMl8rKEzWJuh3bcMtiet2BLOE3qJQ
bN+EDktWBbqK8ZJgWpGlcTlXHfop8PllXt5ylL2GX6ulN6K5yBUJNjKgGz141uXYh5lp6Xi7s8VQ
gXYFA6MxZYhy24cuiYPBpROpopbj9BB7bVrT6GmftkrI9p1czLi6d5g3bBMt1ICEqWvXdxgivMsa
sM3pDoeQcJzgYH1LaR5XFEXnrwtazy68lGqe2Ecq56UPr0GbJc2b2pi8YPu87gKCThjAMfcxjnJh
lr6v3QLb7qaZrX6JSABmYoxRmlEZxotYkulFYbq+WyOMo6cM3bQJPeaimSXdmSBlP31SpCoWu0sE
Cu46qnRd+X/UYF6CIQqPI7cHLGoxD0/Vi7ACbueH2paKDaiiv9ZZIL63OnGp+y3pHF2j/FoN1ros
0LJ5gxMxTTR6oioKJEudxjZYUbBoKoLRvAOIu/CmqU1QHqpMpjKyaTrdyCWT+W7JpuQsEyM/zwhf
Lyo/j+dgMtxb7RWLZyPttc76koAzHv27BE59LlLpugjRZz/lvin/kZLM7WZDE/SiJe/P0OyCUmK1
vAob8tEVCMd6atQLNWXNTgtrYV0S+EOuZ7HPXTa8WvOyJ3tU5f0+XAgv4bGq+myb4YZR0Vx5EaRX
1dj1e9mBgsbZl/R8dIPZWTOFb3RjW8z1m+xL1rXJrrRNGi2irncyMe1luLLqsCQ1psB1IwVeHS51
LPJaHya88iJEP/bJz244w7mH5EtrivKsmGm5RovJ5cHmxN00Atx8VIKi6aKAu/R2mtfwrgxqiVZ+
qN5NIcv2hPXkUhBjs8gFAX8hQNMdfN/hx5m5Tt6APMxwXqnn5gvFqAf9DG3o25HlNjs0Sx3saVf1
b7tRgHAAFOy6ZR4ueeeXIpLVFMaJNokN/5GNzCwXOIEwfO6YyOneDU2PNier7BKN+AXcfdhLXe2C
JPCXlcFxhJ2gff5mHnmBPqlyV7LraRsnoXV3JO+aF7MW5KpTdPPQRG4z1HScLmeUsy+JLsYLsN/B
ZVZwy3Yh0O8LnSZeR+saUou2uQk+TE073bdBMMcso+td1+WO4URBg+OD69rBc23ZlBFOTPlh16xT
MV+qIW3TiNAmu16oBhCjpYrHiZf8Er9MKptLP7f+wJqBXcmymiMwve/ltHwmQ5JcC4rwGbuh34Fa
JFmUztWod3JxfC90X183VvgPSzOjJiMYb6ddNBQ4A1HEOktlEwUDF3eYTLuIs7I+cyAKIkaq/s1M
6+JNZ5e+iIu+T29bu7T/8HNTsaidhzlOqG/yKMf+MHENwbkh8Ga7xmIOp9eGdbaM63XM7/KqWSMM
ear3+MlhGzXNSN8YDBEuGubDePAkuRRZLe66UM0vcvD9I8YOYsCiSR8lQ9CiIx3SFyoMXBaVtDB3
PkBRswtRn+WRzLv2tZpUcQDQKxWbbNXnPXX2Nc7p4GzHZP0tc3VzNg4zPcubUd15ntxO6JNv17Za
w7O2EUuUt1V6v0AhZ7bXw7BHGbjc9N7IJPKixcS2SPuI2HG8UKZozlrUoTRKdWduTd2bT3xu+Lvc
J+7TuI7r/QAH343asZcCBwvOCDLFrp3b/gb1ZRDJqR5fBL4rPq7E1We8pAlOZoFOvrYLEchlMxCJ
5FkIPkgW6lxjMBM3XZ2fFXLwtzjbxbH/kV1SUvNDrnj3Abxc+9rU1p/TpTQ3VeXXq7TL2/2sAblo
g6vsuhakv/SDmF7XXeLf+TAUn3kxAhxYu4zXYqkQPOC0XlHeD1ez19NFNs3cgbcJ67NEVWKH9hgn
LEF7mIs18MmLJLH+zcpCexuCOvnQrmH/Dgk/PUew6ZcrDXqcYVLZoTSJfIEJN+VxX5lyF65LzeHv
vj6saeBeF6DgX6eza9oYJ0PIwU95+6HpB5GiuV7XF96I4QoHlQqwA5V7l/LVVMDsat5zXYTnFDO/
eGxW8SocUw5m3gdfgoThDNqLRYo1M/FSzah1d3oApR2+KCQfdb8n+Ol+2UelaZIXU9Ckr8GylNeB
WOr3Ze/v8EwKojej77sKFUw+6Px6NjmOX8qGZpfGNezjECTDFJd2Ii9x1Ge4zdg4tmeWlVzExlJ9
JRLnw4MhVW0uKxs2O8xxxRqNmHfvQrNWOsrX3oxRxZP62gWY918tQauha0Wm3r9ozYhBD509nS5q
0Vav+CyCN7o2WROr2Vu3t6bxb/M0G6s9Rr6LvaqywmW7wNcShxCThAZneuy69e0S1n6wZ1vpQXam
nfHTlAJac1NaXBboyX0ZU43KJZbVkIwvwZbkXcwH+v/YO7PluJEsTb/KvADKsC9mY23WAILBXdzE
lHQDo8QUAMfmWBxw4OnnA8nKEpXZyunquZzKMpkWRoQDcD9+/N8if1iCrVuTzqz9S+R6mZUuFi3i
xcRBfHr0Sk5/A3VkkJPn0zjlLbKi03nyg3PP1mYrHjZnzew5XnVvRurcptiZZ6ELI3Ds67Ud0mIe
PXUfGXklUODkdTTEg5HldZUYbqTvSwfVTGwXbn3brZaxHRcOmiIxg942L5dI6DaxB3D8q6CmnKYI
5La0A9k6F/ZUJnjXqvPJWPUoPtSr4Uebw+1vTd2k4DRNtau0pO01H6bJFeGUrr7waxuAfexYDyH0
ZqKs1W4OrqXq4rIqYGfjpgXmTbZJ923sNCvET6BEddqWrtcdcojCq6oEJk2FLvWpk2PVTv3QLAIg
MTFYZ1U+SOhI5QVrbC+w3/5kT9eGF+kgaUTmjnHgVg5QHJjdoyWN4XmOaE2cQa72sesyyznkc2Er
O6GFK4wugZtHirbEQeHfrYbbBTRmKlzLOqGSTvxAZxqlLr9RhPrQPxSylrGX95aODlUTWEFxkLbu
PO/KMmZffYTMbbJT0YfuUz7PX7atyD/mhfySR9ITMceE5n5B23HIwmw4mmweJkXCH6C/gu2iXu36
enBKdTIXQ5TIXm4yDpBpyrhpvOZ+aGs/HQZ/jVVYutTXeWq+TXm2nQRdDY2X6+wKhjE0E0uPS59u
bDbuTTQWzn2AgGhIyxmsh/nAhInRwy3PVierW9m3Y3gYgyC/HLu2u1f9OOUHpfM5OwM1zoPYaHR0
1nSiT+22r0+qPvPu28q0DtFUdBdV5hlXdqXdC1tCWnb5CHkdcSxKbTubn1oVqOOmbbuOzYBNODWj
uR8P0vK7a/SDy3QmhyWLo3ExddJXuUhcf5xlHFlNhoYUQaQ6G30u7rACct9vGVbvDN67Pwr4tXRg
US7xtlbDNbs8m3/pV3VaCvoLhpDdseuUJyqI/ES1sngUZW59AXnTJ4h2omNnRs1JIANxYwhzSObG
Lz6ZbfOxFijBcg5uJ4Gdic/dYk9d7Dld99kxs+Fc2U6m42zQIkxKwNHzTNpcdG6CcJd6TjjsOh8E
x5LzebHKb1XhBF+qLLc+VZazXM4wt6kn++7MATJ+BHy3q72maRk7wuyv/Cxz6FspjvskdL+51X4Y
Xttm37W1PX7t5tAoD7VfQoQCJnf+Weu1ZZeMQ6knuKatAywMFmElTk0diX2jFN5VLUf7a1EUUxXb
NWOIRR0UYVLxvgnwF3OiWKV31vjKDtKpQMg50GtV+Xkju+k3yamtSCrpOOYXNt5liCMjXOZTY6r8
dJLCOC17z/646wZOrG2uVFyuhvzgeVp8VXMo2R44eZ50KkMN1WWecwl1N1zIFVFJPOS0NJd6VPJr
ZU+6TEZgxjku51p/m6aVtcKi5JymJCjm8wxrNccwcvOhFbNzDkidI5kq9UYzj2z0dxcJaXbSBMV0
4a6c32KDdmRK66w3vIPRN2h+zW32Hqexrj8HctZJNTpjWptGb16rJbDuYdfCCFUQPVzsT0tRHxea
qnOqX7scdF8UglYuovVExWF0106xWEaisl2JtzamJw+DnHEYoEhhEiVu0RTCreaTfPahUpoqERVN
2nDYj7Fzkq19adNTO222fWpH1VYf7M5axpRTRVZR0iK/22QyWCqv16Nh2qJ1P/jKycK4svrSeaqR
jRptMhuhFtkJhFmlzauq6PwuSjhta1fGaiuaUSUBG663pgX8VVjHCjW3u6btvGZNdbGGme2Yyag4
gMmbegYdcmKNzDtSJ4OSffkpzyu3y9OFpQKNghvHaYd41n3nTyc5vVp7pgplNN/HftSzdyjQPzXt
wevh2u4z04Z7OUqEUlObDqtrmOJGKFnxHFwDuZQSKJnhAGZk7lz+740RBSb3cRTtmkay0N4nD5ap
uH8Faw25Ew5THe3QqG1lWl7g9d2pe/QCOw/COtyC59zNTO0f0VVvrLfeGqPys5JLYRRxGwJ0GZxs
M7H4bBGU4+lRFQAK4eVEQ6mvTRGZq5uofFR9ddxgt3habHmiE1+dULVzk3r1pNb2wlFc3hYTBmXb
Y4LoxWmye2fyZOkffISqpXNuKtWvHTqkcqLH4eyQ9ydShoJ6bExdWqFCurIRc9G6y4iKuUYlTVTo
HsspaNZVgsLOIKllgqRK1Yt7yFvtlvVBLihuIrCDtgsvN1q/8JAZtZ/Bgs1ZJFVsuX3kHoJ1c9wj
vF/zKENVfzRQ10yx3WE+i13F2jmgNmmezbaiy0L9XgzVofPHqEjnAZ2Kjje7h3zcfLW+qOzPozKf
bzzUsafgwOVlZ2ZOUtm+uhLWujYH6TSIteYIIlga9b2I9BKc9bRwQey0cnVj3S5VexwmExWjDuXS
Ys6Zq2e5mVlFaXWbLPbZR1U6Odt6N5bGomkQjPpAB8oJMRPS846D705NmjWh/mpsmV5lbOVLb92F
VVl5Kcln7bfBhMCORzFzNGg3Y+Y0MgirONBODOOpKrxqfs4NvSMudNR2m2xVkZ/g05oz46RRVog4
x+6jNslMt+sO7mqOp9bYBZ/ruXatMQkyO+8SAMXS44QarON1E/qmSm3TU9MnpA/IJuJBorJL0HT0
Mw2SZaMrAty6zjl5N7Hb04dfaQg3HS9OFRyCyq/PjXzskLIrD3MF2jrZIN2wVzWmYetFUFLGVBzx
LfBgAp0bsYO27rSXdS8SBWD2dUOwwNzIoltlmB3XuckT35L6ZuVhp26UhdFBoK343UC8BHgoZH5p
UIbHLxwul+I2EM2wd12OXZ7Swfjngxt45VdKpLMendkVd93iZFfIJPPnfLC48+GyaeRqmQIZ2bZS
x7I0l4+h9tTNMtQFl4CNDXY4aDqqadBgVqi86M4CPgzSSHTLmQVoUaYL2pjfFsfFR+hVo3vaukIg
Txy8+z7Lu5PJbs1P/jBacRSgQyyGekOhP25rjOVovcZTaZeprcYZU1fdIpCPyjmaz3J/QJ02thty
0DxbNMON6l0awWk4kW2w2icwRPCspoOxMM1nZ6b0GvgdyniSAfJCJx97moJ2Ha8cJdVlbltzmJpe
LoMThBDyYdHBhOp4arlK1ADBF3cowjxuaMA/9Mbe8Y6hG7YxPfVaxn6VRchRqr4sUjZ0gfIKuORm
a0AA4s2X0j9UMwK71DGb8rD1mtfkHnI6ZCONTGdHfl/Goj3Y2aiTZfLWzwHVYr7QUzvItO7n8G70
hknxcZ7XcyAoQYEau7ty6sy+CIu6CpAJZWsTD1YWXRhGYX9d67I614Ycb9DqiQQNmP2EK0a18AxB
tCalN4ohCRa3XFO1rGKM6yGcsoMqyrCm/g5OfSEse/VOJn/xHo2skPoa5KpyAAO6Zo1r2VifywjF
Q9wgxLjuUJiYh2DxVg4FkY2roc9Mrzk0ligeKk8PS8K+SVdHf54WztCH+33zPyzOAgzt2F12HdaN
86lHZZHHs6o/O2PTfRqmrouJnwF7RFGJUCqfmfL18Dk3FjOnt9JGYtB5XA0Ke88I7vKlzZVxNggW
dTqUVfBhUlN3Pnk9Xo8hqC7BBYJTIzPDRxDjMmAa5P5XaW/OQbvmeDcPq31Wjd1kJ2IOl71bMxuk
My0QTzCO4enoFK2fbpFB49SUkT62nj3Xd7hly3QA3EoHprqb9I6nDrQv1kW7dgXawMX6VGSr/hRl
kxXLUZlYJ73q0IR19h1ZsZm6njt9DGn3j5abWV87FOifTF7ixYbmxiH5/4TnJrzSkPxHOU+sulA9
IVCebqQy1ywOp860WAfbTZQbFR2N5TZH9oOh5ZgxOmkYIE7h1ZdLbw+/CcCONNQcVHo8xVusC6t7
NMLavReF4zaJC6p/JmVrQYWhtKwc59uqQP+HQyXBg4avbFBVM6dw4LiYPnGi7Rp5N7hj53ofJlH0
VPkxDHdt0tDjf0YkoFfR9HANEI7dB3dFSrMeFxuvhp06namn4sxURSO2M4Tc6/QxK/XiffNat6tO
RRc2k5tk7mBORhrOnrsMFK8KNQucFvoIEVmlb6YI76yNtjE01zIZKn8w9ZlaNShm7NvaO3Hddgm/
+G07UVR6WdW6po55heml9HnoFFJj9fMcQYuLxgo5Mm08qqoVLzSLBhm76yEFLWT3u9kbazCmEJoI
9Q6jXNaqgLEs8wq1kMyzXUTOHOyhQXKRb2Z/OzvhxBGmdLQ/DI9duGSzSCFiQ859WIZKLa6F6EbV
peNCxpx1MKWjxv6rqrbZWmPeRZZrsnQuLVm8yYLKcJphkxRRAmK9X4nr52ZUH4tcz0H/mzLyzfbi
Mgsr/g0tfODrC2MaOTBfiHXMaj/RZhQG88nf0HPvDSKQfxioI7yye4ZX5CN8eE/OtSZnDqFl9M0U
uEjeWG/brzzop8FpctSeSzi3TWI27mAHcTDUGJHiGh5lTCan1cFH8UJ0/Xpc79lehkXigo9dlZRR
yEO4ovfDKr0Va1JeBs9VJ3dvU/Mq/GiqqGYiGh102d8Qle85+f0TsXFzN3bvMJTvHjHwoyYD0DCc
TPwSvzevnzi/qmocrx2g5segcBUiuNnUBpaPUkBWvj6Kt/yEm1dG9DUH4FsncdbkxVuw6x9//I+H
ruH/L4Gj//rL/72nzP7zFf9x9c9A2V/+1PH3bs/OGX/+oX00f7wXg3kb3Z6h8O4Pf4pz+C8CG17z
af+Lf3yX5vAuZeTHNAfHC11m5R9agD/lOfwYPPYaoLHHJLy97C3OAe/sP7ADeT5e65fYBh7va5yD
QbQgebS0TOFLZMNblINLcIdJkEREuoe/Z68wBKjkPc3B3dNvPATjCPbw4uH0+O+kObyfyXQ/kR/C
mKF3sUwfuuunmbx1W6+MUfm3zVw3W9KWWt2yhiYf12g/fvnhxrxNoR+jI/Y3+xfV/vJhZFBwRDOR
kHK59vtJnHvaBV6Y3Fsk7PIz1dh+WDkOPFblNPhUVVN+zlkET9EshtN/46P3KgLDDzz2s4e2NCDh
p85yb7cIRWWLwg0f+4qG8BAo33pA2mXZ8WgOtpOMGQrmv1m+e516f+WBjRmM0I4QqYH188fbTpm3
kaid2xqzRkmRZXdJzElt8rzs9o/TO5T+60v+k7sOoRpTiIhEK0Ax9iftVCvbTOUysm89u7UfWqQk
Z3bjb9gZ0EM8yskLL13g4BKFpBpGuBo1Pfu7/642fO5D73d0B0Eu9OmIuD87bNvmPvmhDYibeTPg
+iyz1UrLDUNhPEqrKVJdt47zN76m96VvnzVIQZzA85BjWabzs+8xXEJH6aCwby1lMFdU7Z7pWpFX
EI7aeqjLtbvg0DA+//ru/SSCe/3UiOVB4Ndf6MB8wwyE9gbrVliz9dAaGy6yoC2+m0L3t6u16TvP
lda1F0QFZG6hyuOvP//PCzNwqPQol8yIefPzWpmjiGMAVPGtb/j6rtwXzBopfZPPvfU3er+fDeb7
tToY9Nhbdt0Nnsz365Kma8LepKxbly70zpBFW53M5c64Zyi2n3XlQmqa/r46d+05kgkWiwHBfiOq
wvibx/1XF84GR7Uk72APMXk/GBvgJ+rNzLxVU88icYOs7i7tqTHB/toq+jcWSUDZY13yX+DZP22s
lhRmaTizfTsArKQtdDKkK+zZhQpM7L+DcM+ceewu+r5klkf1Zl03cwRFtgrLWGJLbN2F4c8aL7un
8wOaEZCiao4O1uTrm6KY+4V3FawyL2z1QuiNqeq/a5P+oryQzwyVbrFVRMzY9/dM4GWDoIis2yyj
yzzZgmE4fZk3emrk52FojKQOF+reyg1sOOUecgIYgFTXqD+Va0OLX1ZuXx+3ZauH1MI5+gzhp+9+
Paf/apj0tehLUZi6CA3fD9PQNsKlzLVuPTILSqQA3GZLDvKzZWbWQ1+jiv/1B/7sEgdUIRyLo4GD
bmaXkv70ic2U28Ks1vF24aBw4U2N95RFev8FFX2sTEffDI4PC5mVGdirOYuijZdlje5LhegDWGqd
nvHOMdNNKoCJl/pziXrykiSf7uLlFo3sGn5slUV0OcJSX6yWE14aeGDO7IAL2lbVXfz6qrgCbtSP
2wmbNYEtgcPMxV+LTu79jdzCKgr6cs1vO14Fy7tuQyoCQ3zonXqdTtu5mJdEBLPAN+YB/CUQmllx
EhV5KeKa9zaTla46sYU9H5AnBCcz1PF0WvijsoCk8tWJjczLthTVToSYoliMj9Jo8ik1g64b4iVf
Cy+hXS3GFDMuK0OMizqwBfgS3KjuAF4k3yHQTsVFODbi0m7C7noWWdCnYTeYKpZ2bXzCF1Z92GX5
38xqtNKaPgAuat1Atlc9F8+r163++bQWfJnAxP59jjq6cVBvCXnTmwXZIbqI/Cx2u9FMPZiLPp6B
veWjalFNpU4WBPdR1Bcmfra88rE4zIBtjZcPGxLmaMWTN9nhVwJBEE+0zThVp5veJjQZSrnDGVR+
aZxlpPlc2rkqJJ7H7BzDSXS/LrMFco6baLg1FsdyY+FNrZeQklQVSVPkUt4EeVPjlIrcIsMZu0SP
eaHYdivmSLAqlpzfrdGhh7zGdVk70QGj0cboYA6fxsilTWhDqg0tIIV4luwCY7nyMs6KNbKvPU0l
5OgFamrB2lyGVVApdmarsEKZbK0iCeLcyUnVufKdrr80dBRaJ/naNQVsaanDMzcvC+xA0fQtbCu/
g9sqzKNZigFVb5NfD7Y7nAwgzl3fYUIhh+iThdnz3J5DnaKjBBoCUkm8sh+PQWRnJyAf3ZcmGjF5
YkGKe18Wz0wU/XuuMjHF8J5taioeT1JkEzBvLr20sWBXmViN6SBPaLUO49UgAizspme3NzlXemUu
HwwPg9/F3GLwcc/bFuPfQzBnMHVMgJo8J9Q6TWhgAVwJjvSrGHc+4S8VBonFxpFcuWQqFTv7hN2H
tBciMz5BFPoOw60EpPnar014Yph787N5+g5LDncaY353YeYcT6n2hvvUhwvy2rFeyHho8qz+qBFg
Q8WDw1wDxzsKTApXWhxhmziWK7MyLkKEPyeIPXkPhGvyc4RUZefRNx5qKTojMU3snwt2ZhmTsMaj
R0XyeSjd/FYF4TYl2+q7T5m3YGgrTfrVqQ6pRs3i4WbdoscFcuF53Ar3zFc+hcelDgVuEx2aoUBQ
1rNCw6RpHN5+7T0Gx4mju6Ctyx6VD1ZZrai2qrayH3rT23+oq6PLaZqpz5SzLItrN2ry1LIm/iYn
EmPE30DjQywDf4EtpKtOQo+bw/GbS5rw7Y34qixxjWeKEoOYLLzM+ya6jIJO33GKZ1MvDSrqS42k
hwsvkaWwJkQ/nGZdOD730X4ro8G1HsZR8duX0TZK5SJ2elffdLSdNoREud5AafJbHIru8KFtquE0
z2f8xBtPZHbpDFd7sR5mayOmzhbrnQL3fXRqYT+IzGZ7nrRc0nXvHlebe2/h4yljliSfhMlyfC47
JoPYfweaB26cC7pPE37qKcRie4j29kjW7LZ9lPefBaSsg0ZzXO9eGoWt6tv1XIvaf7I1/b0Yax5t
z2C0HYpnF5cK9wLJ9VnXG+a1WbCkfWLyrsehrrpLphHPzt5H23Y9G8/YDadjxohMYdKEE85GCohV
yc/g6+zma2UbwyEjeOzJHze4krnzVwiuEcIMIkXQQXXdsurLHj1Lk7w0OGpvVapNTM+vhx9n35MJ
LBAIir3VJUvPqKCYA5g19wpINrwsGs99Ih1gqI9sOwwQsYPY4tBoF3EAys2+1kbBh7cvS8jKPGzu
sx72NoidBwhvucXONT7X0cgzkllIc8cfo9xiA25dj9rW7UeVqmjKo7VaNAaEPZz5POnrdnSCMy6n
u3Bmw78rV7WusVHUjHZW5XC6LOy4xDzRl7e1dW3mgp2pchXvLGbaVTcUq7qSS24Up02RcQa08D5C
eu6ei0PI/y7tbJefTm7FPZsgeh41docHUYV9fZhQBB6JQ2KO1EXtPRXNwj1FxMf1vxSBqnb03UoE
WJjUVRld+qvnnEHusuD8/eObZQoTkDnascmSn4XVdRdRzlOl3YepyRyeammPIVC9s9+HhRYUUXX2
aBSrvtEIWJ7A1lmvZo0Pyi43w09zzOwEEY2M5GUmulpY4wXW+31u0KMfrKGm+EAt5uNNpDN7OQu7
/QGJ3qU0AZf3pwR1RY/ltGk8+BxHx8NGQAUqITznEk1N3tyvpvCeHCGsB9sIOQNEgmMI4kTrYXEG
bjI2HWuOqfNRHa9lJD/7uWSh99aiwZC5QnYiemQUO6DJJPMfXw68G0qxz5vlsERzjqglpduMF460
Dwr77UMXAAkfpr1L28A4QSX32fmyba7AoEsqa8M5c0hjmOPNk9FlayPzE8pu0kEpTjL7XYN111EK
aF4TDbEPp/C5CpK63CepJtZrW+TRZV21LKttdbI0cDbnRI21FcbemFOOyorFZbsh1bEYB8+JC6a8
YoJn+q4oM99BOB/0pwie6+aAu7D27iAp2iFpF7fa4ApM78lFYF9CP2TRY6tNjq0oRM6qvjO6A2HI
S33ezD6vrlVh9/dIqRamSFZxo7d9c8Fmtdc+TV7LscstijytSL4fyV2UHUnRMCdebsBrLdoP7rOw
qQt7YR3ygB3nZe5m5Gsg85kkQTNBuX4d2IZuX+YnZofsKAACjnPbuxhLVcgUwdAynLqwoedFvg7h
24Rolib8LoMZ4rtBanNqEPtxqNGJPOU+WMrLrPDBu7e4snH7EOjFQu5b61p4O9pQjQa6FIBz5CaT
B1KerFtlJAjQACEGT5Rw5vsFGUvD7CsHjyg5MPrxuNIIDcjlbOsa3fZwypSzHrzC75bUqnNWVkCU
zZ0NYOucELWlb5ToqPZOaX3wAnu75aTOpDaB5FQyLRTtlwroVlPVpF0G+J9MREGwfU+Cu+QEC8tm
34BI6snxqScwJRSFbveVn/R8zxTlSu2jFWpimTn9yufmctV3zeoOfowuJXqM9Erj5+Vct1rnkNlt
u9AOwh00anp6IQz8VoiubVJzW3ywRhThZy1l9BrtAaPwwolP4BulmO2mhQvsYfIUTQi0TPRoLrI8
Ip7brzeIlhv8rsG9CnXzwXa8bwUqbURXYjz1ajRlATL0iwUt1ffcgUXGtEDCks+ROpk7NPGOZnsU
pWRHQrS/JRPf00ASg1j9R7xF3OcSm1bceRC6R0MJ58Rsw3WO4WrQnc+6OSvxcV05GDCthF2zOeNk
r09bS7ZrUkvZXmWd032PNDrJE/gTiiFNJnq10Z7Cg9Yj8vZ+L/7nIssBIqOioKdSbscJpm7rM1h4
UBiQIpX0NQk+97mweTxDI/m1h7GB+SOw6wYEkBA3Z6HgDHvx72d6HGz++q4ndugO4fGLlwRhDuE2
Fy8H5aqmyi5OxFKNyPvL0AIwvGwLAJvsjv7AzRZGql82E3yRVCyv7KrfO3pMdpdIQprvezjO0+wR
ER8z6OVgmCPelOd1DYseDxM1rfN1kF2Apw2nQdFFl2WUu2eLjKzrXHvRowWh8mxvK+pGp3LPOIPx
XFvfZv8cBJubanKqFQpg+2Hmk5OXuonBhOIYsWEe1r5lTdR7vymzKISeDLEFZRL4akHu8xmGipSC
ibo39Cwh2Gma1Myozo3OO/HzvTJvCED6hLNdcWrDQv7uzr45XnhSseImREaxV/XRpfHaYfRgJAY7
c1O1oXsWBJsZnHFg09PpyPkmDpUixXMiCKh2bTvkrDJ5T2a1WQ8EDAPZeYjwEnAebkkgDLaNLMNH
c2x8NhaffIsHjEKwo33gnElPsx62fC8HLy2zZzbf/dzWBNq2jXmSI7sMD5iC7BM+uXgosBd81IW/
XRbuWn6UKq9S1BkR1ZnTDr6J2lZwRWQS4RrCZHAzGH6HfGSL2vDgDI4+tXPP+Kak4z2LSG2/13SV
37taj7TbS53H9FU2yMVokl8ydscacOUTX3niDykeAhQEfU/o76HvdH/uObq8LgMZprnwy98aOeX3
6L6hYVVTr2k1eibppogUIkdmHwsjqL51/co7ea1ZjnTKbZTfbHjusIiY+WIlwYRWJR6i2f/8Aiv8
f4bn9TsZ+FK/qWxhaH5kd6iD4S/Znes9Wvt//WfzO99U+PQXr/yD4PmHGwBZRpAa5E34O4T6T4KH
WO7QImYYUzWUDXDnG8cTOnzVBwAneNDucwQY+4PjCf5h+WD3gM8cjzy+n+2/ldi9f8aPcBGjsWyQ
kYAxMEIn3LHuHwzd/0rsnpnRpATOc94Zu0miIWrO+yGxu8vzfpivXqK6h0BjhYaw3nhJuI4uBsHX
5MN/BnPjdCOjsxRApo86LMT2qBpjj+N8n8ZdlO5OXbtDG3G++XcTuH8Gtf2IW8oeg8zRB+AmF+39
Rf8PIrBbexYM2JqrPdclD0gLCm5/DeG9ENc/IHiE+vqk6RJQCy3ovE6LHx8JDkAyfX5I0229nlRT
si9660zukb/lX0Xq9t2w54lkYq4wouAqGSv2w8Aq/hWS+pqsC9vYm3dw9+TV/Xrk9g6Zvh955DA5
HdB536Ry/zSZ9B/xuhMqAvHdrqtqbk5MhS89P/FFL4DRl9eQ3RqHOfk+fUT21ONb1O6GeGx7RCZR
kNj2Vym73gamvuBZAJn5br+m7L7G7wkXaWh5/X8Vsuv9tEZ2ismGm2TrQoe9MyLvpwthIMNrju24
7BmgSBtMAilfc2ztaSPOfqgbQgRJSeP3r5G2ZD8FJBzXzBbcNLwzOZPFS7S8JEIA3e//INmWpEHs
z4dgq1rxXWdgzNdO2PE4Hbj7X6bbmnwRAAttdLKNIehtyRncW9Zt5SIkJ8n4pQ5g3dp/osLpyhu+
C77NXiJ7pZPj9k7egm9tULPqaXMdBhG1I4tejSHDei0quSnJj5SmwaOezR9yb/uhWFWqN/H36bcv
c+3HufgWAktyuEtdAxF//9A2Z1b/b0JgN98kn0mUUYkuen29ZbNFF3+t25noPlfqMEAdH9G+PpVN
uUeRgpky/9/+qndK1iBGwD386TWEdPFkJ75XM5TNH8Gwq71nfXKP9gzWXy/MP81gdAoYs/lSCJIr
+Nq7cJ/hP1R5ZM4E4rRZ+dubEfotDUtuI13cgVP1hvM80OQ2mgfTf0kAVDWBOcGxDyVHvsUrQyRW
6D9hTU6rySIriMM/DOeQ9H0Pgo2L2iRtDHmY2kO0qjBz+Em/qXaHdtaoHL1ShSeVz6lzhQL/8BZF
R2C2vZK03ELUVDfCh98nB2lp9iy6wuz86gqQe//w1mDZ5Ad0mSbvrIucGGiiMMA8g6Sb8SMMyVjV
2VwcGp8YzvLYYGQj0XBzALwJ5lpgJcOvGGzHBTC+DyMCK7rX96R6QAckfYatzT5tURrz8k1yTvQ/
zFu1X6XOkd1PqYuWm88j12n/hF5aJoMwMMDzI75Z7zo0XwELB0mp1H6TGqEc/u3Xz9P6meSxol0V
EpFEQj0yA++nyY0rKyo4ifR3xPNLDPF2bktt8CD1UoxXGVZnADQuqSIpKqqyads+RoUxKAwPYWe6
CyjRyGHwZrQ9hyEXG98FUSa6QTvVHMK2fXlaNSGw87lUvbdbw3ux8WZ8G8B+4b++nH20Py7VkGyM
/evniHU1PSt0f5qdGhhDWesyPb7NzoYe3BqeUKjPu7ytbDXQXacwNWz3Ti968qZ+PYCfG4IgpNWz
rd0eDmxHQ/TTCEhygIstHf/jPjkI2coJOmpnWum63lxMCwsq09xO2qCDvz3vRxx77aGpSgOXZ+yw
LLLp1ukjMoJusla5bwKr1+9vvnm9FT+KYwhM//kWBRZ4ls/ejPqPX34aICCcCxDp5B99/DZr9kCU
1Z5HBhK390+ZAyg4nwflvE9Ow25yJvzbsllQZY7DI9rTPUmwKPN9Ec2ztTcLu/XuZW4bBYsOO/+e
kfg2jd/SDn0iZfiRZS463tod0RjkB+wfKO/uMPZj1jzOYW5w2uUO6c2P3yIL32IPiVjdg2FWu+P+
nYaua5CRp2RHtuSq131hcbbZY//49og9BLB5jQx9C/Z8C3Z8y/ccZk0FARQPi4EMx17ta49voll5
l/D1Xeae6N753JzAXkjedcf/w9p5LeeRJdv5iSqivLmFIQC6aTbbzOFNxbCnp7z39fT6snZChwQl
UFIooqMRAH+za5vcaVauJSd/79EXWN/qth73Vh4dex4MXylZDHx5ajdWYfk3054IpWIXtnAiYr+E
b7Nlc/A3iLFgXb1Lazd07haoquri33u3dvxTG3YjdsaiA421UJK/0QllvmnMlk/kYC2MpN0m6ThR
q5NuKURXgX+RkRqGQwRZJjb5Psw1UKQ03ITkcncGh+Ec9IoEf/Y0BU/9m8yF8ja/P80cnlZ1ioU0
X7aB6uehYsgfeGxDhegbzsjGPIwh8ALs7vMuFHAujkLD2dqcdctCl+0ZehB/2u0wMZEXs6qhUwzL
2WJF9QPJmczwTUqLC+/y0sZu15ugps2luSF/L+ZUx7F0g+yE1Ie3zfp9tYImhhEEaY/Ve6hyyCnY
VjG+BYmlkcao+S5l08juctwMO9rSNsFqvH7ugxdInggIDZAvIi3MKcLw4OW+uxfT4Ci3E8LJP5Kx
2pkzlkco2axhlN/CtRKKz82wxnYtrC1gcM1L8LOF4DFxY6GV9DoSlCRWY0gVkxu9OpPclUnpRyi7
4Lu9iCkjbgxWForSsGrq22OZ5RjvhluzcFroXd73Ia1K02MLMyd8uXE4Catc4PZDtLzzzF1odktn
R3LQzS+OZ8tB6MyxcNbDwWiW0C4zLt1jQdHQpvBWj6YdNa1X/lXQBjYm8a1eW87uCvOp14y0SxXm
7bszC43oEvcjP0Zz3+t67uYCpnwRc7ITh/xvdAsDjFiS/Ry8Hvj3kU87NPj9KtaCpkd5kLPr5FCm
KFNs822cH/Uy3lVOKrZA/YTX1/pC63xzy3CtXITyCC4R7Ir20vdr/QOhvLVTanLB220CojaM+caB
pn75Da28CWxzsr2weP/f0MrTxCvk8n3srb8WnSdxgKGY3/2IpCHSD0P4sVhtIrun15/1xbYGlUa4
AvTDt7layRK8iG9hLQyBiB20URmJJ++oN+73Jl0PfrjkxXjiMohki2TLJOBzUI5C4glCVdglXx+O
I7fTt1PvwA/FKRPEGvmMQPSYv3U/t3KmjZSOzN+tfTqwb0swivoKF57wW8LsS8BQx4uMMYMrgn0x
z/a0b39FDbStSQyVXVnYHaRZ0BG3yTvXnghLMjhV6QVPq2hxYAU8AzoRf2IgfvCzCB8CghffAU1D
ovbFRHq936/Hmh2fjwgq+OoRxO4ec9fNYN7xQsYzXYP6ofY7/6yeQqcQvpwzLxem9/Up/GEGCT5J
B9nE1rD8RC/TNFz5dt6f8fk53ehsmx2S96HDslmlj8/5e36M3Yor8vqXvvDLyEzhauCaXbqnoXtx
yn8TNZwHvA1ddfafc6sI8YqOlhIAnMppYvFDjYrXLiOVZBivZd1eHwCJj5c7B6mEwHYhNoRgjC39
wu/Z6ribqibpP3f5Il6gN7sbFoIeZh/A0UrHfh1z7UwF/ktcdRfnLhVcfoNttYUJWP8Y+PSKJkKP
LCa5smyv+oCalzd8zQ2ptd8H10OZzy+X+MRI2ZND5uz2MBGEeg6hs4kBU9uol1xN34QV3PIQIPzv
ITOQSMCl45M52ZAdGL4GVizuxBjRlj7eoS4ynx8c/1hgec6SWDyH4xjFIZotC1AZPPd74PyrzsuR
S0CDq8Kwd8/kI3gYy7gHavEpYkNzPI2nOEAggsTu0zsn0VGYV8KPXTm2XBdNRdm9/7WlZYfHcNoT
0nS96XxgP4xRI7O99STagzVFjDL6XnIxVC10v8Mb+E8HPoQbToiN9ZOz7JDv8TK85o0C3yxfl5i5
SE2MRGKIyXgTeHMpNM1OJD/OaJ75Bh2RegHfX11WkEmE1k3C6BxBzwJDqHvRZhMqYgAocQbCOt0Z
n0Y9Rt9r5XlOuvFlNjpfAlUlpx/7nQa0WwjaxYerulkyS0qtHcJszGfC15XzBtcEo7DYy0Wsb3co
RsiYuZAZVxz14qmlNOjzRcCMZD82+cWMblwuO+kX/glnQLxJdQR1DODCZFdObSj+2LyHNe5kTWWD
L3Ag4JVL1wScjqGzLwqqnv1/2du4ka+9KWBEYtFhQpK/NmYKSE+J+6TTP3QsM8zegOz4tPLa/6lh
z9fHU2p0QDtyiBDFOFn7+ay8frZvTuINxjRn5TGOfwCNl+u9WsIs3t8vQ761/ZsVkDYHdDRU8Ue5
JHWd3WZLM/HSxLPE8YfXR87AOZWLPdzRELjO9PgZvm2aLA/w50hQBPlv0FUQ0MNJn/vShnDXwGSW
5A8QoxRMVA6WkjGSdpZNDtehnDLbbKJthbp3fQuriARGGlBG2SgbU2MgXUhly2+NE+UHkezBc+3E
vljAyVf2Z3RYMvqLnO510+b9YNHplJaeA65FRJrcl+6IFdMr6MRVgHhmP3C1rBMx6Px76U0SutTd
Qnn0Fxq10na9c6J0X9K/YH0qpuit8kEvlQslzCNkC9ay3rWTUxT+3xrQbyMMa5BXZ2kVt7d1uMTZ
/BDXrkT5NpoWTEZQgRvnPrnC1XRcXHEXN4JQJI3UM1jzndeXWS7GTDmp7YxSIaGJyS3YZSRLkO3F
yStX0D2shLttXjH8aRWAruCEhFttnH8fB1Lm1ePrk/jD7cCNgAAa+dmY6kVwFTe+uaD23bGDOXDL
X1PKL5ZHx/aBUAXTZnjGt9g5SoZeeRSP81/dcBMmw9eH4L+IzElZ4PADxGcN4zBwX95QTjhsWxbW
y6/76R5chHGVS76Eht4r+jKqmoQY4hN4nSMeghNvYgvaAvZ/si5YHoY175ngOvHmJPniGA9nm10+
S615ES2XIJP5LABeUnZJ/AAAyH3Szd08EArskiRJBzjmSdcVHmAt+EGSQ0a0TqJ/hQCJXDbSjSHJ
iy7lsnKhOMqEjHGYrbNk6bpS+MfHAqqH7mmdII6mfXatfPl+dbuqKpTZVFeu6nvJNTm7Xdu8FDk3
+RXBG9kXU5lujOP1iX9BjkvjHwJKCHxBfRySL7Ff5mzC1QNtDe3MJ53xbj+mrrmxNt8567tyhVgR
ohIwpuVfSCCj7PmkEbqQszADsLKRTPqJw/iDEhfIgoB6HfSy9GWErvPCYxx6r6rofB0+aWZOo8bF
ZBH1rnYBamCGfZ+G3fW9XkFq27PJk+hX1TU2E1EGgBgkuDPpymrccsyghvsaLT2bOpPEfX2ur3zi
tw48ZQ8SKThiLvh8MVnfO/AJtChnsJbrJ80faaZpBpY2fE1MvrDd85UEhaaPMlqMxUfJErna1KPQ
oHnA5+QRn90Fo0VimRxxV1G1I4JMLkkXekoFBtONiKYkNyYdrGnnwghLjPgmzIxOHtw4BekIfXfl
5JJ8Scw9p/5qUbWSkK1NLlqVbZZhRQjl7Oban7/qChRGwCLaezt8OI1GhYvwqfgA5ATD9QEnzLb/
owE6oH/JpRHsi8CExtj1nqfypOajdME8o5MBGlZyDXTiA6V6yGpUYer3cTDjcN8tThdJksXu5A6n
kCkbVlMury+t96JmF7sBaBqaD+kCs6ENfmm/aLkDuXcO6y+w6oorU9bkiaOHE1oLppwe7Z0bUKdX
/RVdP1SjWrkrk0EEvNQvstxNvEW0CsQdS3tLbjNAj5IL1xv36BImu5wyyd/t8SkqMurf6dSjiCzJ
M+Aq+HnqnwQmD5ILohLJvnqhYeSuQz8IwuECqs3Ke8xGR26x1ycIBezvg1fCVvZ96IZyS8skfb/3
/1tbLwNX1AAktRuKgN9p6y3VIQp4WVA1sfd2dKnefkQVq6fs0+Q4Ii0UkPRO/60Ce7nRANu6XBAr
BJGwDd2qzl50BcPFVTEbr3LjRvo7/Lg4fsZzpxY9zb+qhl0YZtQbUWEiGKY/QGS1D6j0//P6BPyw
Q4xcnSNdxtyxlKW/n4D/jVwdbFaBDU586laWI4EkB22uq+iXLEEffmz+f4vW7dc8OGNB5Sz/VrnO
yoiR/gM30XnA2nnJ160+sgcVnQKXYmf2f6Bfd5m8b02iH2LlfQjxOTk2cIwXkelLNTln2Kh99hUN
Qx/POBFZP8QwKAofZAMp1po6MYrFskMoqkkJ+Dt9uSPsIPa5DWxIA1LUhf6fBeaurBPk7SW7T+VV
L+HDNWkAsJGEy6nC054BdGNGt4dBB7BZvUFMDIKIn6Qtruvu+1kicA/tCLBFguEWQM23mZ8xseuA
vEX4W+zXFY8HOxvVEVC+ckLmAZqK22ZHw6l/U16lZpCpkpRD4ymCxgnKKFJkNM6zn2AtRQ3xdoG3
hx+vb/GXKBiyZHTmJPhvHHIvcD2xAd84knm3I1vaJ/lvh+UhTgtTZNLbbzq0ku3g7TzaHbp8aSUJ
QEQVZTltaEz2TxBDDa59R7HByfwbZ6tP+tU6RxAisW8N8bt+CoG2Acw72vDj6E8bb8XagLS7aVf0
tx+t7ODZ0hJHABlO+PRwU9zBhbvixhyjckZFrv8HgXLeRtVPntv0cP/3+uA+IagdoZ9AJOL7HnxX
3z+4j9Mao9EQ/aLKFehfrR5yQUEvhOEtUWP4Zc+imV8ad6Zh7MbIrmdZL1IcqSpy1LBvQouNkceJ
9ABJIk1yBU2rQ62S112/BOm+8QudvCJ/IrJw4Rf4pj3+VtK/iDdZUCBOXdIdJS3wd+65TfCAz0ac
eFlRSwzoD7p0duJw5BJxjGqS/k2v/bU8+5J9JcIb6Q0tQjJSK18uZQ44tXmINLNROMlrMNfuUwNX
EN+mzOWqwKQS2hmZFt69WC5SGu0a9IzHqifxfHdgB/CGzTFlFnS1zexs9Ozux58QIMaRf7vF0QYF
Qx73HcotpZGCgbNEZDLSOafd/F3V0I3h0qBz6fHq10FACvUVpe6LQV8lZCK4W3mlWRMw9+LFdAU9
+tV7375EnFroARmYn4EaG2+9YBey+txN5SWZ+dbN6I/o1y0wzfGR01J7cLuvFUw+/v0cn1c8jeIr
M5WcIHK7x5TECyoXdSzjaoOGOgZSbFMQ9G8qUD5c9TUUqCx+dVaiuXL2PnDZX3VFZnEvRUJzsfkB
PEsmAEywSOikLD2jHadp4w07WvQy9oq2HNgyxkweoYvSaOse9cPaEd3NL6GhpcePlhl2vdYNv6ie
A+VTyaN1QQcW2GxDK6sdHkZFsgcg08SppRkqHMgDm1enngYDi8fQKanSI+PfrGoMUSse4YSTZ6MQ
LeNPFx7njlKoyCtkixXxkh72MX5b/J2miNvqKFYY8mFYP5hfHX8cd7LjVYxHCUv64pz5TEhFRt6O
yzPhxpYhzOukfkTGpY59ecHqHYl/SxvL7LzXSlQDdw3PFs+oWsyocAV79MA76gK+rrMo1zcQsnm8
oBzyimdRzZ3XDSg3HobiO0NCEsMJyfPTSct/L3PFgPnnYoj34hf63R32Bx1tAQqPD9C6bqDJ0Ww6
G/u+I10+H2R+9i5t77qspynnXnOzKs6oCSSiGqpmz7khkyDVNA58zfBRuphLhIqp5JqkaGLnYEX2
IJUOBSPRdzanpItOI/0W2JbIseZRGuBaE3RJDdpUr3qLEBnVsbn3pOKWHpK/bKxVKo4aKKja3khK
A+9Yl5LUbG3nD+25tJH72I0UZaRgfGViaKYRR1g/xTPZOK1rl0stWcDn1KhxkjOvJ8mGtlrQkP7t
gD3jMqsDnbuVeH8mWasVc41FAtS6xn+cPUkO/yZOK2SzfmsJ3+mjRGz6Six2U150DWT2697lt4fR
51MPfTqz1Cq4mL8LvxaKtNPxxI2xh/sTgHSXB9M07eKuUpBVj11Lt24JrSF2ktXfaBKHfz2Ai1wS
36RfjkkyzXTMSobdN9nh77OOZUPb3v5By9M6dUO7e7jzmqBXJIELJp7DrS8pTQzlmbBsJvggnoZq
VkJI3S0JcBxaluup8U/aiDM4jgm6kkKyqjYl9fABLfArKXohAhQ6EBsQz+unBNTZy1MC2l76symm
AMOKXtab/XwOh3qfs3/QECIGgrRciXVNIvKNKFRdulsTPd9YINQsxIqdNeng59M/Gi0pffNQz3JX
m2K+Sve1Y+djYhPyp9hIc9+aX6YYqi3ah3z5QlDvM/Y1TwMUqsK8FmmPw8l6MWTQtGzjG9874cx9
07anK0KJ7T7PwT9REI+wJCGgf2ydM+bg99qblHBe5hSED19dNaXct0mzyT2gl+Ru+LeM1gcQ0lby
SQDr5ZY/jRjceI1P9YTgQDxBAFURUKr9T+o5EHI+LnspCXhwD/6e/6YXRjaLDtgTrdkp9P0zmuHu
8mTXhYCE4GBveVg3TxusKY1tk4waHkKeqEYFjWsRVY+QB8uOSWJ61C29eLM/Allg+sYS4x3/J6Yo
j+gljavHTM/cTQvJLig10FKiEPgP6LfRfzqMAo2ADSb367muA6Yj6BZEHv8YjeMStI4LO/pNX/Xi
6uRYCS4hWt9qBtAfVTolH7ikMv64OhkU2O0N9ZM6nm+QP7OrYkS1cjtm+N7CZrH7v6y1aYoBtAH9
2uyQKu5q2DsnKizwAN7MbrK3zkMDcdB2PB5eNefbF1pUw3MXoYVjtJa/C89d6VTWAS2IBvDdFjq9
TBr0g3Kdz8Y1qNCm6bjIIKZdWtjpLw9GnYjC8cs5+bAUCXq2H4r69HBrqKZuKdm4vvXS6oNXRnRh
/CevMp8Zw6kZ4uMJvuAk/x3KQZEbTEPs6vYULNOyJU95vVFW+XQOI6iZj2kIzfv6tgG/xbqvzSxb
Y4eakR99uZCj/ve2pmMyQM4K0Rm/GuewsezcdZ4g2ibvVN7WnUUp6oOkOPnQ04O+Ed/vUsyKzrPF
i0BgesiKL4fdUQf7QjuPrCX3LvRhX13uZTarjgVtj45RwwPT8kAqzenaqdj/8GKKY9eIOOTYldny
tNP/vI7BTQplKptOdzfyWHkAqYG+vZ0SMQljgLfgP9YF9jK5X2A94NmpC0t1vjxAaeAejLE4sVqy
H7yjB4yEwlQJK/yaT6uNjGBVwHeG5IjVHvb71His0uFkwx8c+a3T/ImrJcWcdprFB9zXzWd2VqMw
1kDh4NHCB40dtQjj2enePEE0HsFyBzpqY43CjIM4/jHV0ZKPv8boDZaQpPjTGe1/RoRFR/+u3FdO
wAPlOov+fx0LfJGUr0R+Qcjbpq6Y+RTLcuQUJMiX8pjUS2lq//MgLMJvqYKjwkGkP2kI4eQ0mm/P
BnH3S85bMRDOEFa3o+yXLF475qWKkTRc/g7mfuftSYQ/i+ihAfH4TnZ64S81LhwLblzFPC5XOd7e
RItwcd5SeBGLyckrmCY/JBUwvFnmELmbD3F2ym9UCPLIvzvLPoHWst3ynDfAuSBPrcyD9EGK85Vc
cQcccR3/RGINyxHaSNcAyonIpI9/pGs1skNsr58YWGI+I21m+RoVu0ocy+URQBrxbrN/4WsRe+e0
hcQn6iqyAhIv2eXiYzzhvF/YQQvHmIHT7+vzbdGUS5auOQCmC/XCuSGbfZtP/Z5j6PRZYVEA/nWP
FIhY+W2cR+z6FnIl8JD+JPSKnZ2jO/fsj+7RyiOwkyzZUAiuc85mvoqtAN5ZIpTeSMKtWzhYn0mX
X/EQuRE+KoYXmmf1mlZG1p9W7KZPJcSSmf/GR6fpOnXXg1XGn51RP+ePuMrybwjm7HzBDIszP6YB
Ih5+u9R0NWLI8RUIFVxq4U+BETm1QelbnzfCex6wXT2RvWKBUUj+mIWNG1qs8HW0y3jhXc8hDvg5
dql67ubuVoE+EwGfYc43GXMAMRarZbRN9TxNJnDcSJszoYuXc+W0MwzJ1k3mXwJ6Jmo2AR99PBJb
u0uNsT95yPmpQNmYAbsZOJovkwmx9DJdTeC5m8Xycbax0Br7IS3tMW56Z+VH4hf0jt7Mk5/u/zJU
l9sJe276jAgy4YfZbSNd+my92VzEy8hcidCj3D+w3TIkUG4SO2qIM527wHxMwLYz7TxAeObi3Wio
prqQ/djLzb4YUd6Z25eXvO57vYB/AeKBSA/xebHq0Pb9kMUsgfHYx3k0H7XQPbRUFouH0VuyHYgH
kvYDagQKrciNJnjkkyCz79HuEIwAyuggLPKiF8ecJLnkmtUJpyy7hMu7iookLxzPTcTQz3EUh9cU
24G5CUIACyylm6lsAurLlalFKKwDGinBW7z+3OELjxP0DPUxaOUoNv8vWp3cOc6WPPGXD4jd+4zG
oYtcoKUm5liLJUGTXesTr3/z99ipgPIcHQcIUQCyhAWFkPD71BK5sKyo9mR6r9iprAK56t5qEQ4B
sat8iA8p1UgITvk3wCFiC18fh/MyNA2wTIwkghEA4HTwciAwWEQuBOj2U0lsTDVpQS+VUvR8oloI
aZGBayFrLSZ0rpuZfyucrJDqKIXTlR0M8kOKsoPTI4J3D+b/gtFRNGNCU1MrfX3MwfdVGakckoYk
UJBptKlzvii4FbtXHOm5rx8aCsxMCXpqAj6FCho0M0SFV3VMmyyK0JOthcbYKDvSxHyRKZcgMY6e
xrt+3G1+OKMfEx76hyWFm44bErNn8LXEiOTTfFOaysvdB0QxNBA9ZveeKT9p2IkM+TpHENIQLFP7
AxNDrKVVOD0bw+kLKmjZgKyDqTl7YM52cOFzCoO2yqo4JuDWXRjWB6FJBqVqkd/23hqNK1cErUVo
yoOUHb7aKRpZ7v0eQTZVwZVdCsBrrY4rFF8HJIXuNW5zvSmoPlRYI+CyeAIXWMkzOB5Y3KUc+PpK
vejWY6U8UnlAOTxUUekRe4njAKqXg7o5ig8abPfm4cM896MVd7iaO+9jMIKQYCoMyESPvSLlK9Mh
YpuCG6wNAuM1z6GPmASnmMfaXaVg+JPxSwb+28QNIQm9BVL+86hcw/X5/TH14EkG4GWP70PY4Lly
LcJ1TqRaQJ++tuGr4ssV+UvHccnyQkgMSt6UgBWR85OhvbRdYeIlVJwD8JdkqVHH+X5oNIDXq8Vm
el9xaci2J7dg7x+GtPIRYSefxS6Al2pnUXcD+8kgpyI9U03L5TAVqF5LqudqUNrqLuC8TjRGwpEB
9xJ6Jdu4SjZhhh8Kq/z68F+OPrIBAgR0DgqrJwDGF6N362FwEGJv3muC1DNe+2DuOjqOChzCAQ8I
9+j1b/6+YiklOk4dHW8JqtQ2CrcvLG9FFwSw4K1/X+Qwv8GOfmVMn7+/jsS1jJJJHNLUWSU1/fr3
//DkoeBySHJgAWH0e2m8wgG/BxjK9JY2OLEAlj+LG6YXAGRygTgCGWCGn8EvfrjlaeNhsrniYfej
OPcyDZlbpZWiaT++K+GosD5PdpWt0ccVsjk8Fb8kfH0q/KvUYGJ8JlPcKtpAIn7g4Yu8KGgZCbNU
p9SUq0GwDPxNSxKqca0Jem54OZ9mmk1Aw01m480ah8+4nETbDW7V61P98pIFBcNaA22nCQz2XP/F
UlM57nfoL8p3aJt5XAL5TtKYrr2JhCvoetNQYYxoEFQCTkQczuUOeH0YNOe+MCMwS9JUDYEKOGW6
DF+e1bKtj+T08/7tdnaCEz0SukS+dg3hIDA+c610tAhwAkMcTPjwb45qOt0TptjLu4pMxg2+BLlq
0VmI8IXA4wsKQfvsNHWYIf3X/+ktpBuc206wrV93k9PUTKO23hXzLNhD1MQKbMIebZLyK3sbibS3
3DESX4wjYJuvAzIGjHILiyp3uN7BqlHSPjLZu3aTilN2BrYgac3rkR+Uuc6SXYAP7hL1jNHTxKRx
rOoLWywyT7xZ71uNj3SljrieSDYr8BTGHGk1QZWT6y4DBMZ+AgpQ8cF6qR5mXvUeJY8pXqiCchVd
pK8kgROM662HV53MN525NfwhpZ/z3rHSfXyazc1sMocVciFMDMrhdH7eU4WVTLPCIaHVkK/RCVX8
xjTnYjSDGouNa2EAn7CDcFGslDF5t1mUAd+Z15m2od3k4r3rPukHT7xgHe/p19zZpwF7mPaTFOQY
q6TjhCZTms/UcddMtbMQPtKAY8BH6oBoXxtY04w3IFYp8GqFYJVTL1+KghhevL5QZ9qWunxzH/le
lHm3WbJIzoVqhyBCtzqfmIIQBAsLJB5m9UHhMGsXC4SFXGrHc1p5WcEgoyl+zZIrUErDBPWWDhiP
+GRjWPQBQN+A73sXTYk8lTrJOkHqJunbFDw2mEqEpvEXem9ZREVddQByz7fJhkz9catZeMSpZIfN
nS+w5xZlHq7GZRtW/7HZwaB0t1rU0IOYlS3eIcXMK8Y0BanaAM/IJaAMeXOmbgVTtWnkoXmYaVWT
qR1cp2nD0yfcDS5fW8VIesk5ZzbFKGkdJl7hlPzrpN3gXNHSrDyG2AQHoliPYFazvX8LFSm3C0oZ
9cZsqZOi81MGrQCYEN0Sm6NYMz1f+kqqYz3fWrtWj5XsDaxMOwkV7K8nUVsBzWMtxvvWfkLF5OlS
mR3dnClSN7dTZNNn+Za8sEBm1aUjH0urIcT/gmlC2UsA/YoPe54FA9DvTI+blluiw80d653Vzkf7
i05sXEFJ+6Cb3ewfRYark6PtkNqc1Ru0+WY8Ze1H05NqEGaVQWGZj6rjAAGZp3RF6y9BtvAcWYa9
yKJ6hmzmquUUplMvN1gx/RrdOArxfz4+BqqOl9KxfDC6piymwe/nBroXmFtBQ2IF6zVXWJFVdcIC
aRWG9KZYFY1lqsu0KuJeIZTaOlClXDosrzGOxrylSSDVvKxPxBSba0lPy5xHkxTzZlsK2JB0beAX
NbDP+BDOybwDP17fAgyU+xQBlYKXnHXYsPuWhnp78EtW+N24om/dIDX4AB+hXDMIMsgtSLHFXRHf
KU6/5L4oV+Q7y4AU5C2UU1e2yVyJebVJq7q2ljSm8w/aNMRVaVjY04qyFlRUEr7oVbdsdLutb+t9
ibjNp2CRXkHNXpwJALP1vU8GPxz2m6gKkywJbnTDJljz1Xs67b1AqdX474iDcLr+K4oO6XvYiedl
8MCnevz8xDtPTMtlDxBjlUKd+UV7drUNUdtO9cpQrGNPW0o13Vrd4bqU9bdEZkV7DLXpROt0CgR8
vpj3q0tX++z1uVrjTeiG0etAbyOD4KR3QQqrqbH/GorNeY/vcjuYJLH+m0n26hVe+X1MZge5YDpo
jIHM4hoF8xu1DXq66NWz+CQtfWp7LmyO5LD/1ACUJJH0JniNK4mw3VzanrlKlEpgPJs+Ch6jIq+O
5K6HigvgvtIaDIcri9wFoXx7arpLRw+iTVbeQCXNCTEnVpHA6wa9b3afzzNkr3+jBy/VROVL0Lvb
HAaaQrkFP80HzdbOY7xQoefmNx0Q6gdkRyKYU92D4uJzovqzyPmjVr+18eKZBCF2Z7aEb/qbUFMe
2InFXvW8oa5nKcUWazazIe0jK/v+3Z41/l6lP0nwvWiRJ9ByAOATgLtAWgWv+cIVBmRuMZeL9bAN
5DXsO5fEdTM9d860q+8UyduxZGo9MuXnwCrpdtHEmzEs+lSrGxUIzv5kkN83fQTArPDViY1cwHBk
416CbdE3moe4O/O3quCzQvm84G0h94XyYct9/VOc/AupB+bFhuTc8emA4H8/dvGBPyS27umyVv/T
mEBFWyiy2o53+DLfII3dU8BBdXcY0/QW0cdhhD7VawR+PB/L0uO1wNETQXIIE1mc3ComecibGklZ
9AWtloZpmOVh3l7hd13SO4RgJYtkMhrBlep5Pfj4AXwi7DxQjYCXc+HD+LFNM+3cHKxP5b3JjdV2
mlEaxAwdAvVQCe4pakjWYkecJyW/YvzM0KPtwn0codPk30xCTK9JxRtY+3xs3i26SW2d32o8k/kA
PK03uwsp3Ae9Pp5v1wuAkk20MyPSVSwumEu9jzSiWKydiEWb0fQqn00rk+YtlDMkoRmJM2ROeuyP
4igl+M8crzLow+orBDdHO93SRMTTIuwrZsjhfxxY5VGZPVQ86MiZcVXxjDYIXUV4GSsPJ8MKw8Xx
ZMf0831VO6feUl9s8ln4b+0Ic02KGuH8gewQ3Py/FHFQc3S2I55PnIRzPursvlgnKigzFGH91xUW
qHi8pQGDP6nfcmaOZGJmpOCqDzCJIgcCIUjoF09OsUdTfzcavLjyGWhGcwt2q6xu234kX/sW7Us0
Lx/Xdszm6P1QOFL4DU2MpK2Z2n8fTrE8WRVAzljD5Xc10MMfLrl5Ywdn0yapzW497jlWSn0nM8gi
zok67scqXQ6KWab13eBvdF8hTyvOhubLzD26Gns/G0qFQxy/+U6NuTkA5ubMo1D8V/OnE3FTvv4n
h0IyxN/k9RCeInXso14RAe38kf+I3dL6aVPE99qcZZonIrD+dOR0CXp+1WNe7wJ2S8mR8KMvqpmM
DHUw2WnIpkr8uzeVtCDph2RAN3mi14f6g4WiE45TC+yW4hZpq5cg4QxGxSSYw/yN5U7SCrXEdr/e
p/BcH/9cYUq0Pg9224TzPfCOtG4fATtCoXuXRnMdIcc3B8EWvklM4E2V9wJn0lLnvI1aWpXtJ/Xe
uHukKUnTx2j8yUOjuZH2BQ9vQzhcfkLYLIyHn6wFCZDvF4NcD4lhsOIConcc2oK+z2SmeGCDP0d0
ME4UNAd8a1fQMW4zSUZXC3ll10lt2iSm0KnLSFMWXSpJ2cSgaZo4DwXJt52CxDXwQGdupaCmn2i2
9w6mQnCacHBS+p3Q/hqyL+ix9/b4RuFF2whN9uc4IcP62Xzj2Q/o3CmASAdh6oeK7CmoV/NNAOsX
xl4CbSCdhZQg1cdnmM8FVjoNdEThPQMJWSrO9KeLvwsPVMIzOlzk4l2j8kgSEplaAShWbSLlQqPX
a4P/5JepRaPNvSuifOfLtNzP+a95m4ciJD/i/pRJGSnH8UpFKcCEGgMZjRB7o5g7NRj/4HazWqmu
QqAeMjvmewKUtGSOLhRP6axNR5QCt1RrodxD/25z75X7EsDXFgy1Pdy4EXQN95Z3FWgnU3t2YDEG
G7CWEP+DZDUDgZdKHqr3zlg+v3MDfnPwDRlkuQVwVt+O3XJECFkaAJRCr3VqtEg8xq0s9Ri50dTe
2BtOTnmrAFR4UTYWYrV9Meeswy4Jys0WdCk0twIRSZpD5pn0tgCpnR4Saxhh0IBkDRbzBhWN67Dr
MsA4pxR8n4VdswJOhhk7GdDnDtYAKlk3bKrt987gVCwXAejoU4DwwVo/Nh7KusXzFOgTAa8WZC1N
j7JDwZ+7Y3nfeWSi3nZROzOiGdmDaL5P8jJrI8QhR8/Z3tFNEDo+HZQIO7qww13VaMtgyxN9LuKw
4xM8vNbYPfXcw+TQ3TMV7LiimdrckyRO7/sCY5rMYuxmA+h+hlUMN+dNkAKZgzzJoJK1tl3N7ck8
9E44MamKoB32QiZOZywzGHktzDtpOLNZegTjW7TNDdSbLS9oZohtZb/aqyOt863fNsH9ltUnvZ8Z
mQIQF1yxCGBE1gEzwc22bLIUmWcLPtoHJ89vaGPKZ4zmxOxW2rL0wbJKW2B/wS+KPhWIRZCCzjwe
wFUlnxCzzkcgT2ASeRg1MzFlUABQ0PUCPX8PFzhu3hv6+eXLdGvAeCzjVsAdIBwBkswekq8OdEHx
cCLzaVcCvF7bOR04wd0mv/X2JNix2dTxtdTfzZ4ca3LfgtExBqorpqRv70IoqMMvfelPvCCsg5Xl
ICqVj7K3xSlD5B3IXzooNucNT68njN50sWtl4AhA93mJu1ReEi+hNKkuoyNVDihY9iT4nIz2Qwcj
KNzi+t4TriZZLjuQT1IQdrLD+wICcoJsmDPQWCPj6Xr0063HxKC2aWQHMVmeI6LDz7ZyhBvK+tw6
Y8gshesAngkQkZimGXJ2WHQMXE7RENoyoZuPvnSp/yxBJchyGNh9PoOllsNbGzj/M9z8grOroS1g
auDz9cbI0OjgN0V7aMNDT7ZTMEF6oNeDdMK7xT4EtvMMStpDqcucdi7VERzBdvpSI/zZdXehQcYM
F/Zca1XQ1fA0Orhx6QSFpAnULYGG5ksH82D9UT88K0sxRAqIb6CAyYobO+uJb2+WbpZv1FKYfpe2
RygIJDoqAcxcqBIt0uTG7KPzImZPb8bGmcWQuHMoht47l4Af1XHh5KKB4wHwzGiChuYuUDQaBG9U
pYGQ8y12ixRUcKvm8UhHweENBjyqO49bVtBMgymeqT3l8t7ZZPPRSK1HbyUwYK1L5eeExvQ3MJiC
bnxuP7AXsf7w51dAF5uhFZxYTgMdx7G3CW3Ke6ejnX24r9tE2ghaU5ZqL5Ci/lLPNLl+LNpZ7JNe
mbDtygUEybWYeRX+HBkVmhRHT5rt/AW0WMke0aVUrGFv+kxG86jPUPXwEMCbvlIwRqAujyONgHX+
T2TeBW6Mi2xe2/B2W2yM31dUf2HCuaHULVay31CCxdqdhGbRcKMYNpN2QcN6AVqJsZM6h3PQQpt9
CNdM8IEAYTMr+mTNNf0VC+r1FwDZhp5PsMaJMQQ6OL/LfDnsSwOmsXxwgXhfL/LSXoCVngH+biXS
u8Db7DYXA+nB48mPiXY4rEceJtJ3YpwBxe16QFOt6C4YY89C09y1i6q5ARK5OsuHaQVGlT5VfYKK
/Du0oeTqQcDCxYys3iD8Wu1kS2ruOGu5gbI8RpHwvdW4ox8V8EFufXSinYJQOEumoFQPGqi2f2xg
DogbpCuudqopdQX+OiH9AchU7WfUVnTDfIqQwgO6O3abiCLcqtdDQRVW3QeI/EaeSXtwmv4IgFEq
eK7Id8lkjubpaaCQ5qDY80iLfaRJS3p95v6EEvcX9vEFT1VE71C3AlqMUqB/2QfdK2mVyiRCUi5A
ZzTUgwl7EgCwjX7Z81ame5sK8f+mdRWorCIa6wYhFP8+BuyRLv88Qw86tF8H4+vonGYWuRGsO2Us
nkUBfYVBTvo5TZXpG/w5wezoWPoo2hFv3gCLz96d4h3DhL4ICwq9jnTUx75bxGgRSicJk2ecgs5A
Bj2vdeb4bU/WJ3K/aLLQTQ5BcunVpH80RhHxbpk629kEPA+7KsDqd4rbtAbAIPtDVIeDv/yh7q0e
ob2iPWn/s2tSW1CSph+r9TENgPE2iNKKf5OxFg4TqiznXj12rmgw/ranCYJn/whIPrJ+CHML6PqE
/JCvzc20mDqzwhPzncVIPiigdDJoPwirLdxikOxy1eLsytLo/A0u+ml4TEsgMGn9I5BdWfWUqi+H
OcilheRxHeMRm6CHcFcoqHEIpn7qeZIKcB0Dy+AL5YuKJUiZpGitpQ2MEA2o49nS3IS6uPFk8DrF
USXjIAGglS5SpJqbih6593uP2Nn2eUAmKR3gCQt3oKsK43aXWRDVR7cniIhUsXPMjegGIlX4qUTW
nE+JtVNs7sWbN/GK3jV0j0kVTLfTnjkzhl+xntr6pe2AaTVJH6ACsBUZq7BxbQSzDC5X36C9YsC2
sdbac4X0nniTRxJI+4T6F4OBgT53jMW5oKodiHGYYQi7ZY85dVPSBoGYjRTEKvgvWadixfPGTIPw
q8+HDtxax8I6yI/TC2bA5x5pcE5gYvfiJeqiQyQq7i4fKRemnis9LXrDaicISnXyEt/eQVLoYamK
SvAiobZRmnVKu61xQW6BcUJe7jCAaWTsUkbbUfWrEaCI+mr8F6ZD3A/1jvWiRQvj5I9ndSbsO29N
vPFDkGzJ/+DsvLbjNtp0fSuzfI5/kMNe4znoyCBSlGRZlk+wZJkCCjmnq99PdZVmS20tcf9zZFNk
N4BChS+8oQy+ot+72R6ZTGs4xX74JVCYY9RSRraQbZnlAt8gUYzxA5oKncDnXYnZaWi7jkTEkshX
qJmT+hV2drrwLZBCLvErSAoOyXFB+QxsjmoYJCPc7oO3Fjie7YMATS2ofKYtUe+2tthWaPJhBnCA
4bZK9XTqACbd453r9FfneDoh0LlapQ771Oj7IT5M7oIC0qlUh4iaP/iNy9NeA2N1GqIRv+pE1TmD
rYoBflkCxuWMUkjmUgbloLzkekNeOWAN2kjs8o2logvpfM2c0wvno1kvsbGiJGo8yyXqUCtXf0Wj
Bmug1sZgJVUr/c27cZUpn3TGYKw1IL8EzsigdVbCXnms1emWq39c65DDCzThLANgC5wt96ojWQ1E
rrd5FP29uYLUDE+aPVoR1IAFxIhmE186tEdYEqXi9OTrfGGpqq+kMCN3Fh2v+oNlsaJ0HKwr4jpt
KelS8Kqs0ZZ3pNesztjVKGcIpDNqs2elPCQy0xJErzHwKdK4fFrzBKAbyN1GI/JpyAWQfGzXkTNQ
+DkOc7djv8pETY+Yk/YyyTKwiuQKusmnmFtzCT3RviUyHOWGrnjDOi3WlF8cr2TKqFMFzbYCq5Qz
pnqmI2XmsaWUYgQa+SHKEwMnqM2ycy73lVSRUQJijkRIQ8tvowbs/6lP5RJeM/engU8ERqRBmj6M
06Q8I6ykkotbf7gchSxm6aHyIRbLLUih7jOrk19l5Xx9F9rkDGW3mtbBGc24GHcBLnJcHhCDPHOQ
2pUfpdR6ESjaNlnCoV6UjcNecj6h0mMfg80gngcXagLMo5DttU0neZRonNsQdHIt6MmjSxj6cwpm
T/Wz4qWmauZqRHrvDfJyZCt12J1p0c7F74Xi226Yp/OAejbrCoHmNBN/IRqwd0jnjWivGcL6d3r1
oAIrQTQahZ9Vtpz+umYkRCuZK5XBzoFrKSozPEg70ga2zt5C/m6i2A2MC56f2tqD1sJ48JjiYYmL
lV7NmiWY0ako47c/L9le1TPBUEP0hc9HSRxY+T80UQCSe9aWWjEAEl/KBcvyGXVhAPYRhfdonktK
7VobL1HcVS2//PP7uEI6ch8AnS0Xr3tQuD7wnO/rqrLDluENHHxV0FXVBQ0v0hCBbb0IFzZSg+0l
9OyVMJLneaEThBSuPFjPNnDtqxuwJtqjAo/bkxaOa4Qly5z66HAnQM2yPlNNxUye43hetdcpM8g2
sTRvRTIiRan1+EcyuHA4ZZ7XmcM7giYLvz+OdzKJmzocOSig/UDnx6N5yhaq1hpR52JFXFZwYKJo
8G82gJVSpFQTkfPclJG3MayNbNMqoV5DwTLmhlpOcV8AqXSSA20Z2a+IvMzNm70d1X1Z7fyVDjKq
FaWx+dkDxu8zer0iweLLONluwsH8VjVOF49S0HOdz1vAMRPFEuaiYWQKthLPa08XWPW/0myt2LLz
NqRc+qihHUJBtLTKo0Alzd21vkhEdEQnQl6qE0L28iMOGfrYGkQhFdSGxn2han+lXcK7Rb0posCB
Vkpk0ku5aig7JSZLqGnlp+GiDuVRuWi3d67SlPwK5yFMYcjm1HNhFlCKko36QGmmQ0YxALlTSbHo
MSatJWF2qlP281VwuZNvej2At20UnEiW6Sn/wHfF7JOhbjdzPlbE5/SVFCZJ7WsawaVhGfrE081K
LTdOvjHR8UnTi1YXxs1sXwc8jeVIJ3NYXBBTZFdQWi5QPaspZBNyCcsLQE5BXdQ1k2KQky1UKmS6
8aLwp7rFSMGgobfoqR6d7oCZpAQmxuMXtKHu26lfKa3Pzsoynkuo9q4GXkQTiZx9M+atMTcfXQWx
l7p2LBNhznn+m7AdMIicwhvYRP0CaKd0zDgNmfyqkqkgT1r06udvhy77FZvDkxB70/Vs17UCKTcu
e3XfyMts5si99nZ2zIamIeqq6soOdlueeFhUDp1R3NvBIgL6Vay/5wxPoLvU2db5Hvj42r1raxPd
D2v1O3/nVo2RnQq0WQUm0HWY40ZbhYv7ARHCtN8BO6RqhkWp+3kzvNn+Ioo5EYetmmCVfqJXOG7p
DVK989o89U4rqycG7Y54BWvpmrl9j4KAkOQYzkGgCCxZOb1pnMvYMVICkoGPJYjAY66PqvWxNnPD
dTAKjCcQRG2YNUjYkPkXefmw+TSBQQ44qGhKrm6aYEvRI2ljYITS+8ITpzFwXPqLbc02N0uHYflT
TEeltp/KpOFpsam7iIhpxlCXpQ444yPWx5IyVKARwAUpRUkxvzl3ZfW3G4eId0z7M+AfCxBMLE6k
HrK4OY8GvHbvr3HrMjd91M+CCA8M633sWg7fSYc0DGqweg1VEbrgnbsEr9BAcG1WmIdPrP/kgmyY
i2rfwF5ID6XbFl5wh8VLk4zvyrkwRto6TGmHJ5sq7BE+LY4MTw72elHirosJS4fHxu+qMr1LkghZ
7L1lkjoF/tHOwiEx32zMi7l8D04fclW+qzJ8n4s713Rb0T30TZEx3AOaEU1z7lbDLv0HJNLiNb+N
c8MDy5F0qIbeuXlOBw24fbwO7Ld9UQt3dncSUtFEt6bvjlH5JunWorCPQwrMfEJR1HDK9URrrvGx
pCW+Fc5NmwmQcI8pFcMufYb12Znd2dkGYEq39Gkk3LFrkbBGAYYU1Epv8d5Exuijj3v4Wp47s2S3
eDJDVG17LHOmxK12SClN/h8tVlDV+DeY4bgwn1KrtNYIy2B7Cee7xpuZc2jLYQVaHugRD7l1j30o
ha6TrhVkaSAlL5c6k3KmGlfTJByd9t7yyVg4jVavGkPnE35uY1PeLSL2uvm57kANfKzczti60wLt
PfYFo2wBjMNtHM7octxEI8bhjOafl0X7XpTrlCO+MhKrH9Yim5zkZs4sUA9IbTSV3yHbAeR4Xe6w
a/T85T5bMWH392bTQe78jbMOD+Cbuu5avgPOQdLMPQ4xMZGUjwN35U/Bceor0/KfzZjEZn3A57OI
vHuPevbQ/hY0UeGsdxEdFTGfcUcMSxwZRdxs6Z8smGXqD0Fb8KYPIvdRx7xHjsml2bb6scFgwvp2
s+0RCn4Ugq1s876t36YiLIbsUDDocfqYj5MvrGi39dNijPsMgfCiP1RKIxQyg5Q2tENC0PIhUZ4x
ySxkd2deu5yVPi3ryKupw7Xhp0U4ErdJmZcQZ6kgcKMFChiDSZJWF9Fbd12XyyIu5T6x0qBJ5i8s
ujqwzng2Rm5zm/mmIYth/YQfKP6jl6/E5XP2NiIdNyu2P1H9ayB2Ij7ab9betaI4gGodji2OD7ic
r0kg8l3QRbVPiVWbtqR+MXXDe7vol6otdzS8gDOd0q61rGwP0CXq4QgBiSvHI1MY1ErB8CYOPqNo
ztuUkdZFjPua+HvxdjZkonrcZXkxifTgLcliY4hnLE097TmXIWcCXhdpa56yZRgNcfCizJnJWJaR
usXJ2brBo0ZgmGOd7dOBDmH2FKrNyzJwHsCeYLTboDlEwNT77bUNKUqkJzCCZVXd2mFpdgHI4tES
9Y5tAe3V02Z50sgGQFRJwQbUaduzTU7rjCfSR+1R4oe4c0t+/1Il0ztAy/gEnIIikpnrFlF/zW86
Ou+l+dS3oyw9VbYrX0LYUOAE3EhZ3c5eYc8MJ/5UT5MEF0G4k9kK/dmFLGEHsdMvzBt218GP0DSv
kFr7hJpNNmd3etvQnzDwoaDypTXEaLeUzIg2KQdue7HpCYKZ9VeLmbfao81/wnZs+EehLA50f7hL
BwmbmOgxh8Gbpga3k53gacmCfLyZDl+2tYakG8SlNA/Alk2eG+jIy8oHlqcS0jMS4DAuJj1ZvOnU
5EeQ8kKLuzhSoeLgpf3dlq8caXdV6bqF+xZiphw40MmyqQZfPGGDTnr6vLjOrjNV+PuyxgK2fDC2
gXnzLo8Q2CKxQ6NDWE9B2btT/YiQAqCCz31V9M3wak7ojNvxDnCLHPFmmWs+OJsdErHvTdGkvKLM
RE8FjwTbyRMsE8YmXhjHdfQ7CrHYl3s9zuq9MOTJtvqJnAZ4i4ccP4s34dcw32lp53jE5qN60hZI
jRrsrgKnn53CgrwD9rAoTD6POIzUOAbyL19ZAAVPrmxQnWbz4Lns4Mtj4wX4B9yiG9Pz4LkQEjdk
s8fwUxd6cjT0yEJvklwPWp+yMYHwizxLIC7Iy1ZKxz6D5M/d4/4rNaQxR5TqxPoDWnO9iqaZj1MH
A5N9j0IJj3vG0bwAmj1Za04Mmy/Sn+t917VS8Tgjy+AG8bDs+c6R3YZ3keTKTiGMRTLdATZyguxk
b6V8T91kSPlsjTNC0kQqX+NaLxljOgrZVBgBRLKIs3MzuNPk0DO7yG6jnyB3yJCQlS8Lsskr03Nr
EYGNBz3b9eQFXisjVCcVI3cGBUpI9cGLdUeLHzU/qImj78SioMd96VMxdS4QKlxY5MZqoxcg5w2y
pmwGeo3o79IyV3o0ORvl1HeURrYxVtn2uzYKqSxPykDnyyQDrhhVD0YxAwVAE1Oj5WfoRRJFxfko
J783ztTz9w7gC75zjKnwzjs2FtlfEOgv8I+5EhVJxov7iDuzu7KxVPGFfOTW8on8tZGniA7/omYw
GZV4GwvmnDFfFMcJwS4q1hmiESwsdn45v+wilB/skzC350PLzTfGEQm5pJrezuTSfXATgyjj25pi
sOz4fdy6ncjvFhV9arb3oKaEPsQ6VeFQ8qxehhAeUlaKFm6nlT0jzuUMc1YdfTzk2TW2Wm6DtUms
wDbm8i3IIhiMDwtlq+W2W5vWZTF4E4ntx27cnEAcQx/5EYzsPNPd2jc4VMsBdIBAycvZlQxSh6id
w5TgtCtSAKEOVEMgfEUkZXRrC44KAWwRM2cKyFhkVAesOeTGBKRj5DWuyDhzS+z2DeW63TSZ8l/1
xE/AFbAFNFPtCoBChdUkFCCyprO9g0hR9k5vEgqHYJWLGD/P8qFBvKMCBKm8r2x1h3qZr8CViPcb
FQxMAk729u77FZ2so4z36UPRJjybW5mSNeiNDMyK1LVVW5ULU4PpprZkkqUOlfKsAqZaPojQl5rv
AZLAvPvFdVZGQIcspTFLAqzj9Gz5q2nEfbavQYZsr/S4tUri3PUvNnpoaMjvaBdrlVOt5dbrWx3a
aL11nVpMSrfAymArZidl61MqUKUmoXhIjIHrt9TmQZ2h5bawl5frsb/gYNcsc9HJz43gcgQVCCmT
wWxo6BrprjLLxLutKkn92E3qTHGbyuZL9Cauz01KmvIu9bnpFZkUeffUChry1mbdt+PFwo8CitQ9
GCMXsYOTv5Ea5DeIqMhz3ijAvuGqLtK0mz8P3drynfBVJUp0GtzRMM9+AF1qw/XuwulFkFHuf7iW
S1+crCjlvEn6xU/nRyNtiDZ2UAgy+TutVw/NkNm7taW8eupwbOMkP3ebvdP2g19Z5psf9AEtR/Tc
P+rdSZ/PaXBRwOf0k4krjiKyUGG4rcuOMNqN/H4UdmQPXlueaFKGXnh6z9EbcriuYN53c233zZlX
LT8NCV2+BM/c5BHhJ6a8zlywpxJo2BnH2FmfRdiKywWuh0FfDtEYia5NZiiG2SnraTPUtwKQCXek
b0wfVyQgck9la6z5nf4W/bDciBEFb/QhK9Ys5EKkHPKw1+8X8B16x/faVCEpavli7TRFYOoNDex+
XG8BmLKZHnR6tG3tIPNFFVZhxysDKY0CRtfHWLz7ZozyGs9DE78KfrTVAaefxVfqIV+DeHWE6k1Y
GwuEhiEPab1fDionzBsYZQQcJgKC1BG2Vu5SX08SFMd4eE8pwuAoIiUS9F+6a9/y1GC9DRtw7mDG
HgHc4pMEo1ZyASHb6qhaC1f6RukXqK/uUjSfPeIN/B+2r3lIxNSVnU9VMdBHYz4UMpjMsFVkOut7
0XWrqjMn/z227Ju7MJtHmf3o1aM9kCwSED72tfqgqoC6WlJGlCiq48IqLybQj5czDT1QuT1pwZVF
2ST0qd8wg3U8RNdjKsM39ggeof/Exc3AvYfQKQsxMcoykMy0M6bpz/LUA+UsxY5W9Se+OpssZQCX
UCAvAWiICiulczWhMLm9K9UzG9NlmobmdDEbVNFf79D9E2eVsylR8TaIpfuTufayyRa4fs/kXlTC
R7dfbl6IFSbBneHFSAsd0EmTLzvNjSi0bxFSjt4kykrETPvuo9WIyT+PTjSAZJUCTRA1MhMx93Ea
IzOnejpJCZZmGac0vbFXJE/X9yXMK7f8ABgcftWxolTSirebBaUjfOOVoFaSh0BFVijByMWgl4Z2
1dCLz2iA4lFeagWi1O/yLjcZPh1VitjF6OSBusQECRz/JxmsgBmUmYM+3vRaiG0x1Ms9xVN7LN9m
hqzMPKPFIsOa0Gylno3+au1Dop/eGBdZXoeMubX2HUdsY+e3dmARJJ1VXMFWIddAHvnS20vvETr8
Sg1TFtjYWIwy+cIc7sR8qNSRo13JF6+UubVXlPItb33cS4W8OJcFMvIWeRJWmWfLQE1vbdouSW/A
+vlmK5Bbjd4mnW4Y5PumNcjNU9eQl9D7nY7z9HUT5RJWIsKx/a69Q746yyrqmh5qPUiT+ke9caui
vxfCKxp3Q7CyhyECY4tpuUsmxFzmd9A3TOwZjJ4t2/vQJDOt9ceFRlXnPmxOPcXUhBS/TfPthBJ8
0WxtsEqQLc/a8SFTlLQwThBwvAXWGdTNI7Y/sqKsuVHa0aBQ5gVSrlrO6riTHNnMLyRyRBO6SQxk
3OpNuWyxBAbbDl2wiyCtFk0VyrZgVCQkzb7WrHDJz6K2jkCdJChp/rjm1Cqy7kYpg2mIONuFCq2Y
tbSLpf6NvlntbkG3UkiuaAlPGF9J38MN6tbHCM1ObvSuVnj9BfQSbEvsHBNHCqfdYYxWUWDvqyDM
srOfOZ5AdkFR+zUZd1EukPovzUtNXZfqsdeRplGaTuNWodykNMcu6Aalh36xftXSQI0rTOtDFxou
dDHVHtBMId004XCujQX9+sxc9maSrqI9mE2edeGhGkzDq/4gCpVR9Kg4+GVWRNH7MQHSvdehOpGj
yLo7pAi3DUiMHclmjFHNkr+qlQxqxcnWCsKLMoPVLFPNbNMmWapts130YqktS7aYFj4AIAnxXcsD
gL+TfEdt3lJIAgHAYCExZFbjpkxbCylRSEmUTC6xi5pwRoW2t/usTal1j0vPAD23wjrs+RMYWaOo
XlnCSLf6nELY42kwUMy5IUGfnHWvb8XhV+1f2kHX70AZc9Re1JTIw+RZggQCf5ojYN5KNy9Np9VP
pYQuNNPWo5DlvwO7EkfO3lUcXlaDxG4Cr/aJrNVU1JbBgVJf1oIDWgXC7gMJ59NSRqq345hCYnC1
/4vSJ9DDrv/Oz7BIegiU01uvyGzo18lXqNWTaqrc0wSO7iL1402DFH7IzIy98q1e8b7mAYpITtIk
WiV/DS62/GlSugm2Eu9AT0Ya0OYQVZla6P9J5IjSOdJsL71h6ocyiyHmL0TkSLPzVbm4muoNq7ni
x7m8Gkw32YjyFONdozt0EKDZ8GvdmkH6fiPQGoe7Cictpkmj5tOm3GcS1c7S17GV/LXmP6sRXctW
zi6t+6LvWYuGoc1XszUoJIsS5VBzVzefey+UAU7STcRZr3WjEPS97JortWwft0X+QkIOP2pl7nJD
JoAe5+gn6fx+LKDNi1N1ERbT6gpUoAfh7oqhSasV58VWkjEdNYlE1kuav34J+pXoEK42l/oyqZO2
7v/A+jnK050BwICpu2R9wSmrpycpmNyZqUzJW/GR8OU79eop0Qiam7caCtCF0sxeEfz0dmsvRBnU
9pMsXsJdBHk77I/pFon4ae5Sq5UyF9TAAnoWl+RLh4FmJy5TRJX3YnVbs8qs9APo/AzOSRz1KFYE
3bZ8NP0lc/yTjth1wUeHCYWbp07xOUmC1oXBU/UyCVWpq26PRQbBKPh5OrLxtt3qvE7HOLpCuaqD
OlAehEJ17gJlTQqJQib7CHzKehgdgFgEf5T0QNvkNQepzFb0vUQqNteJ59iHkZGilYiWCNUMVb7b
bLMmB0EZoeA/Oi0c3Bnp2T36bgNXcOhF8Ay6vqgjM10gpQ+H2M25zjGnc3ZpO7vT53Swy2060Y2y
mGLz6CyxgX1mT6zzqBN2Ik1S+WXMLM++aTIqIiCcaGiu8XGJM2OlKj43oJEPs1PIbhTe1rJZmdA/
YMbEKg1nzSS08nWgDqdKzh/PsgJuNphQiaxvS2VHC+tw5OMo1YfO8BQbSBAXuJlTNbAfi6XlDbwF
iJR73RegxX2evKK75jjr635uZns4F9NsmGLae3FfNxhIlFNXDAhZCxL0HVhC02pOQYA0qzUeQDxi
XbgvUSqnZbFH8in1xL2u5+mgWJcrBmHLp0mSWL6BEfDUJu4pd/XediKACYhqaRfjOYCCtAPW9JWn
+ize2AkqMrqyNQPN5CWZKtHTbB2jrjGAeAxEnRcCjwZBIUm/P89H3pTlr9pvuLLIXI7Og6zVdaqm
hWe1TPlNvNHIcuqolW1jBkLyx3X23dPNlBmDqrinNq8pPAYezCHA/oMszT6m6A4awaOKiVu8JrlL
XQWUL8kcD/GQ2WOzQxKjC6eDgenfXN2JIZfXgfwtqxa6ONebHIP/U6pzrIpb2kEOw4LvpvNTLFdP
4IrtMD+gt9xY1rFcxmhO92CtwPa8oi8jU3l1KxDeQO28na20ER4BfLS4xRvKYknbvcqnai6XU1pi
qpvsHRMRgO0DXUU76U9Y0oVFdU6DNC7Ku4hAJA1uklHqiO89K0e7+kMcrKKsX9OGXYMamkw6xcEh
b8nIk5MTI052dCfHEcPZtIJeID6uBNW1FQl1RWnXIj0ziPG7eL3AOMHrsXUPih6oQbD62HZJ6bpo
P3pijs299i6JlUmGG/rO4h7mroySdO+3VlrlBwUt1/q1Ar8sbDwUh7VtZinnJjKwPog1U+q1s9eF
GQRGtaels2TxKUHVp80y4G1Fss6UMynbVbuRCoa7HrAYjMsccG+MxvUeoLcVtk+YOYats/MMeu7r
qQmpjs6Qe3oz3nZmPyzkBtPS1v5w8iY3s7pdYSDUGNya65pGw9FrVyt/F5u2EUxn8BJigDkHy9rM
nrKxgZX9ezjDZcw/O9hZ0r/3BKIb1s0ULaHr7xdnqmR5MY/sJjymY5wu1BccfxKkZsIxczxPLAAC
22HO42z2D95WiRwyDmbMhStALM3W0NGA78c2P2+MVj7RM7MQ/LutG2q/sCaLAb+Ee6et7LjcxZvw
BnE0pp7W1u9tXHve/NiBEKjNW5EVSVA9ic6Msurs49hNMAtl1eXy3YzaVr4vMA8Y/P3kbp7TvArh
9RvNp9IP8imydsipZUV8z7JChPyJ9JeA6V0ylyUfNOj7dfHD5G1lvZ0St/b57iXvS8P5vQ4BIdK2
HOlG36IngvvYfVxgdzF/ypd2G13A9l2SukDBwHysvOsMgTX/dVMC8PF3Maxgd703wYB6/cEYmrb8
K2+mcJj2ETvLlvwVekvnjifIJD1WJfiB0CMePRh43r0u3qZ2WJFZz1PqLdOnain9zcoQafDxgzlF
hCTrjSdPmOEhZgHb8wluPS/1pmjdyi7eNjVSTvFres/zst2kFR9Y7qNxAPF1asbQoOLiewMx8B4F
g67wX0FnxqDm2LRUIyDSOps1Paf+3E3mfQaxKBZn+qNB2f5hO51nG29KrA7sI1J2vpPvI+L0emCN
s6Un7wVcst7f02RIw+FsBRnb1cEd4QnCzCzNnIMiq2A8TLeVMa2RT3+WKvCwhxNgR+GhK6CC2sc+
D7bQvKvCKfDc24hSVelPu7UiJKufYQG4bf0R+UY/Kd/WhqiNZI/gWj4LZ2dDJ5ychybvi2o4Uo+J
HOsYhcA7kkNPFrkhOhJlGRyHv9Z+bYOatl1sVs7tLD1j7HAXmjPA3yPd2sg2n6kU0yZ5ggmVTeGN
FyaJtzyXpKO9OMJE2Uy61tTkwKUsc5AXNWrQTeZN73Ajbbv6Y2MJCo5PoWpAdE69OP4fZp1CRfhz
dkve8soFEWiYb3F/kT3aUTULWgdTh+YVsGGrX//QxkQFdXzqkx4SubxsSh52nB7WDcBIt9c1C11H
YS/KLBuFWyESZruxIH20q9u8bP37VtjWQKk/rxmGXWmBR6sPkeGm2+9pOnkJGEdi1IbgYligA9xq
3IKj+8VgejmU+h7z6fxmU3U4mB6LB4SEjvvW3w1uK7uilbJpzVT/Tt/Y4C843uuDiiqfPIb1OYdi
oYQtp8KV/sWZrqsnjjzZqPfJ/V2X+uuyXDiadP97MgeDn8pkkT2iTDXFI9VPY+eRrU7tNwumRTYi
ddS42rGI6iOV9czsDom7yTxRj3Qgx53Cd4kpMYGJOttbTg7WKIYOIK5ufw6VuxKRZOWZiFgGiEZ7
wHlpSH2Pk/OqJEJB0DMOCkyojYHKHGeKwdypjFbJH6ksRmfiaxojn/Xx5/dyBXEGRxki5wuuEpQj
ONDoCtnrUE7c4iCOMBybUyCNeCXIFrb0d+VtIXdD9fFBlwWUgAepoMz1Lrfxn5+X/5M8108Kxdn/
93/x82e0s0gboDp9/+N/P4jPXd3XX4b/kh/7nz+7+qvzc/34qXzur//ou8/w1frSh0/Dp+9+OFaD
GNY343O3vn3G32q4fD83Kf/y//eX//F8+Zbf1ub5118+/Q2N7yD6oROfh1/0r27//vUXyzId+5vX
Ia+gfy0f4ddfTgU8nb8//eAzz5/64ddfjND8F19hStg1qj/eRTNkfla/Cv5FkYjqQ2TZFmlegAhT
Rfs6/fUXx/qXyQzD8JQbwHjAQSq8xwGFX9nuvzzbAfkUApdAeibyfvn6/N+9pP/30v6jGkt096qh
//WXq8kD3gW3JccFY+Pwvwh4fz+Rk3kxoULV4w1dBraSIo/Kcu/aafTKpfDdY0TWVa/IfBi+KJ3C
FwRVrlSmYAXgjhxajA8LCRVeeXffwE0xM9rwtVmG8wwc9BispX+0hF0c1kCUN9+8Fv3g3z7oDy+F
zrBJE8Jl6K4u1TnZZFmlN5xdjDnPIB2wvu1BZ2KD1P4vnoqhxKw2sHjpjlQd/uapWG55s7ouSdWy
0Hh0sIWnNA0eD8Tzv7kPyQFEjMZ0pQC744VXT7VMJH2FxwBSBgC1tNpvKoSaviyTD88pBh9WO3BQ
4jgH2u/WL+DOmYPfCvdc3h660RAqmcVSmfv75xywDI4d0vyzATN1Z2VLSr/DbV/9uy8OfXm0TUIi
WjTcgqurkCw6PSip8dxRtMB6yoYst/OWNpiQyC2r8oWH+gdRw8aBgbVlg11mmrjyob95eV472U5q
DfgcI/W5S/PuGTHhL2GCRRDsxnscepoXpNb+OYykZjZK0OzjrmX6EpP9zRXjFIxZ6NTjOUMyFzxA
VPCyOOl+PoxymL5F3ps8FzkI2j44SqB0LdfHN1eBAotJcZuPZxjc684xjFeQ2F+vlk0j1Cy9F57p
R6P47dWuXhqI56RNsLg9h9Ns7eJa7JKpHKgS5s2uhvux6/L8r58/4LU4E9MRU3uqRR6EH1SMrrcy
us5+OM8sOyv13ddu7Ra/J+YY3/r1Ft6MdZIfqIFQNAn3sP/7v/3BhETtOTfgj+szHb3pOC424p1z
0HxeFse4pSsa7ex4aN9t3YqKfJrsrbzdXtiYrl0f5H07Jj4flu+F0NWvZxwUMB+fVZYRNBI338F7
zlGYAfJ2NAyoVtRB2n0T1qSjjN7RLhb3TxPLnKfRCpvHYNjQAW6S6LUVOskLa8H7wdR0MEl05ApH
bfAiYv7NpMmiws83UsAzIk9HolewNV267NsQiasea573VBCzvTn7UXGoi626o8fTverjcsoP5TKA
BzGrXe722a5dK+Iiq4kPcRVKE9JkvU9Gu3u0SeVut3yugT8N8FMCr9m3Qxf9Ps7C+H2YwngfOYJe
CdJjJ8exBc6SXXgc6+VuyLt+NxvFCDnYQzCvAE7n5u9HWHWPuYuV3ups+alzRnGYjeF1jaXSTSuC
bbcC4NstcRG/ghFifjBowZ4R8TVwiV2/5KvzdgiHHOOmBAifnw6v+ebq9PPZ+s8FEnoegQGrnjM4
CK7O3aVPvNGDhnsWffpo5GO6F6EpNeZ+G7e4OSIUYf3bS5IremzW0G8Cud98vwFE3TKF0ZYPZwQT
by24lIWVfI4q91XnVO6eTu4fP3/Cfx64oZQ6BIcCJ4vQ52pb64mQK97NcMZ6stnZkzvfJjjaHaFR
rYefX+qf0zT0QoQ0TaTLTId8/ftHS0aPYHwiqY3CCbSm0Vq39TwGLwzgD6/i+qjVoTIBge5qAEsz
NsphZgANvzM74NoRTn9tEj79/GGsK58L9gOeJrQgKXjokrOpff80YGo26ABRf0YHsEaTqgcCtZTJ
AUp6vXNjEEf01Psd4lPJXRd+6OzkXFM5fmlbklSf7w+MkA65D+Tb8hzLcq/eX9vW7kbbpZfWAMFx
bqPihLXAcHLnQYQgJjf31qqW6NiZ9XOBcsrbfMjmc+KZ00O5bc4dQkEvKafaP7wn1PtDWDwoaV5H
HGioGEZMoflcJWN1a3beMTIpEKDQ0D7GfTPuyQ7p+Hgs5aI11tdjI9a9T10LkH1VH4KqeKZgP1ER
Wg7bNv85ZgZgbTE071a6laB3hHfj0R+6q9bi0TCHl4KLHz9AZEGsIqRn/V/L61nImazhzKCm61t4
Lw28VDd5n7KL7YEOZAeQECYJrE/tve7KuzXdPoUi+K3v/OgWwHS8X0I8Z5BIjN7UW1DjVr49b15c
3aG5EJ3mJsGzNs/IS2mPnDrRNi8cCZZ87f+YFt88wdXsnAcMipJ67c+rkSUg1aPqbvAWiPRwfQeK
fzuIbOsuy8xbp16nfd+45Qvr8EJC++ctSJsoFiNChVfLnbqhO2Ps158zIx2aHUZj3l+EVU/oLUDV
icy/IS3h6Ue36HNPWXmcEjDUdnrIHZwqJ8rcttnXhw7rkd0srLncBZTo91CKzPPiZdnezRLrea0s
i60yeBc4+dEzM5SmjOgD0p7djTV55ivDs4qbra4/BZP5zsc4dp+41rjHYKH3Xhjzf4ZulBtMJDKJ
EKg7yIT029BNRj2Ub9kQ2qz4UMXnYMrAyiKGtasppL4QJ/5g2/aJSMg83YAvNq8yih7yGsqKVn+G
U/AlAgPNqQ3WDv/16IUryW+6eo1cKUTUwHX9wLwO7Ns4GRssjplJXfJbbjnJBygysIHLlWwCCg4y
vaZvhHexb73ksfaD01fST30UeDmYCLy/H9EBCzUbwEZ/RpP8YzyET0vQvjXd+Auchr9Ief3DC3u6
fEX/eFaa8CH8VwdTjKtXCFGlXwSCBmfS8Ort6BD30Po4rFWK/cW0waIqf6tFsRyQQSG4cUOxh8TT
HUyilZ/fyg8nk+fD77SdwMUK9PtHhyU2eenE+p3DmpZaE8DUTGMa1jCa9l6affn55X5waOLG4fCa
LXJvkvzvL+dDXUnKceElr91yRqcl3m+gD17IEa8lteWZCVuVWAprPh4uvNoSQG8nteU2/ZkcGSGd
aUkPtEaivR+Hxu3cO6zOyR0lwLw4zoC7EP21iuMyGffb5r+0R14XBy83Q1ZIUu4GoXe9XucVYSJs
A7mZaTCPaRIkp77bHtaJZmmCfyVGI6Vssg32rs6p4/98xK0frWCiIQabuB1To6u5NiQTDaoK0uNq
uelfTdAZHvZRyfC6FzidYx5T+/6+BuURgFKIDAJqrJ49uqtNbu/KFkgd+qPrjMOqk8Q7exhGa+/R
lv775/f5g9sMI19WLWmxWcHFruyb3CI1QgHb0W/P/hLTg3K36ej2bYQjpideGJIfXCpi/wzQMqcM
BzPh+0koMgslkS5ozwNkqi/g7nHsrYAYYOxs/i8eixjUc3G2Yi3/Y1eDB7wNTei2Z88W3RsElCCc
4St4TxWeKuJ/XpXyvq1o/WAT40qURQgRA4paV3MeFdEkq2ElnOn0JTSaq+Yd2Hb7yOlG73Ep3Z1b
p/+mLrxcaIggU/H2LaRNYfF/P5QJcgpDlHrtebUtbHe9ZaahWkIJRGfohZ0quthvXe2aRBqypA01
wGHH+v5iYe7WYwKJ5+y7nYlf8boOYJhSd94OXhlXxf9l70yWI0fOPP8q/QIow75c5gBEIBYGGWSQ
ySR5gZHFTOyAA47FgafvX2RVq0tUjzS6jY3NQWVKqZIRxOL++X+N4HVMWprgm6A9UTDEnBxH3LDK
s+qH2nd4uXILjPGQyKV6RndfZZseCdtIcl2FiZYciOydZDqNIj7fkXGKC7EIJUI4fA38Slbkua3v
b7AxzUZMmKO13DhaFmBK6b1129p9RlsGXUxP7mheS9tt5ZhxYdBWsLUCkZkvAZxO/cMtAEvSkJIl
N7u5hscmJK6XffYNl7OxHKoGdG2X5UZNe60ujGO9KqXt5FhO8s6psQTf2tCwyYMrjaqJ+bM2x/Xc
y1KFIwnvzaYpJzu99bHle5vRsdoiJgm4epy0wE2OfaO1e6OnlDjEq2b2REnnzwQ6W3aoRrstDl46
pyLyiREvY6yvS7oliq/pT8XEcRJ7UyDmageFFJQbNTmL2rRQ4foNkWuJDu5QC8pla+c6XOUoFN49
mYCXeMmgotXHnP0onFzzdu1AjdQ9oWHTI2xpP2wXrQu8i97WfrodaT0dDwyxKu586K/YblJXoGXC
ZhdJWQS7pmeLws1zhf8w2gZl2EnH/1ZkXRXh922tSNoEH4aFEM4eUcwDOG88To74TrlV9VKB1F+G
xqVvpy7UXluKamt1wXmslrjpZEyRcHNJPEBUO0u3JUT5zrTLeYOaq47TEYU1ltTIFPIdC5dNoK2Z
bMZCWXFtWZ94+WcSZhfJd+i9nStndHt27u7sYG1DJuaVkqAgvZG2UB/eQEqXPS5F2HjT+9q5zn6C
fwyxJIdOXj3rurt1EfrcO0Hdbw29ye9LwoSjUc+NG7+uslt0CdWO00Ieyjx5Vqvl7BzNeMjzTITZ
opIDKXhlpIpyZKiQXkTPsgMF6K0PZaUO3WAPYb4uDv8ozyXokprt/kglLBX3etlt1UAhN5l0U1R6
ZX0zW9km587eJ759qbVMbQ1sXfFK6U60aAMaF3Mxdyuj6wVhhnhrfKmfKEX2N8vQuRulD/1PV+ua
SBtomPEBrHde2zqHvgrW8GoJOCCvNA9yQV4DSHE0DRUjezfi0llean3sXgit3kMsP+bj8uKopNnO
egBQNyYvtaul1M2XtX+YRq+JJ61LNkTSPpWBnxwJpMw3btr6W72wiamdEcnZRbBuMs4NFySd032X
9v5Fjop90ZKngfDQsFJrHlI8+kN2s9ijpsqvOXD1vqn96acthzFc8nkF4SqnfFiXiG6hBlV3yKTZ
p8m2zYPhqWz9bIXcDsrvNWk8Crs75wg2UxYJetbnV8qYyzu0QDCnS9Jg4DYO+pguZFwMbewaq3/D
f2m3ihdimzims0j0EnM6y9eF2EhJq7aZ2HO5QS7Rv2qGFetF6qehZvKdd55mtr8rby3F3irJT9vU
fu/Bx7eG5580zR2I4vAQRWCoxth7BJ7VJSBtl+97EmXtcCibarP69fSUgerfm1VhPiV1U+aw7m6/
xTDW3Rmz6cdtPs1riL5FHbNc6h+uTixECL4rtt6qVzeCTfb3QfqpuyUjuI2K2cmtk1LSfbSRPPwM
APfHiCmg5vCdTPpmJcXyGzxT/bMXNOQQIiSNt0Z55FGMwjkHjSle86CZNxKb0W5gYnnyF7t4nSQ/
Z9EqtW2xihzXlvM0RRj2gSQz+R0UDhqkkNkaD9PIk5BZQfeSocH+vUNnGZdK6168zsyxgCVDdbDU
UMb5osvvDiJ/zodECW3cxKmxiK6Sl4NaLrJ7dbvcpK5L2CID1wHrWklirjK3nEqDPiYMY6r3tWj5
9wdMushl5nTd+k5uIN9M5wSxHhEZpG5BDR5EQwcMz6A2H2lfyh71OqvC1utHM0Z5KrTnJrD5FQkn
DLIbmHe+qltOz8SgjvNtmiTpOfc7f3O1+d+ii/NPdmbzUy2R72w9dx9x0DhryCTSHV2RZediluIN
6M7cApw5Z4Rrnbtt2nqN11GV8dwqu96hEE/PVSUmLyLpzznzEnW8VNxdQPjuWNaBffayTHz0U9o/
2GtvPJHAIb/nRbns1qVZdn7GRdV6BDYaj+YDYbfiw7meMKOG4s0J4ViR77iy+d5RNT8W58m90dsd
RuAiOK2TFB+kQfUvuHLM7Up01++tkfZduI4Zl7Vr6oRMknbZjcEgPwkldc64UbU5RPKGUJTYFsG8
W9fL53pNiFDswLNlV6E1G8lyMtiWxWaGoacSDz1+mDZZcQ3mHhMZEmVjPAljcc650ybfhJuld64z
tm9u6pabgcJgOs61NTHCyWeIdEbL3KYo1I9LryebVBunm77ml7cDT33ztYJ1MU3yvUUdykboWnoe
g85dw4w8OJQYug9jYXXVgRqPmpLzABCHbIw5OWb1wL+A2NsP03SurtY0QYIDWfMCGKuR35cF0Nr3
Jvnppahxk2SpDkY/XJ9ykpFGOBfTeczrbHq222Gka7DlS1aOXl5Qvop3q8jcRy1YOzTczZydF7du
jFDaTf9Sdau69105PutClZf8ervNPvFPTmEQRGxPfFCpLTFCCfz7DBnZ2ZZcNb/Ilns91Zaf+kp0
n6ZspwkB7ZOLWRf2odOz5kQTND+xXcsLI7v6FugwMus82dpxRfmZbbU6W356hNQ0UTJmCbkQjiH7
sHG1uYlcjVR+VvK11qh7c5MLuag83WKU3XKop8kltgMP6f2qdT1Lr0uKy4Y1KztXZdEaUW2s7b1m
ISOBMa2417r0s+ngEp3XRIEcfrY4BB24i7qICCDqfmptYTzbhKBsplkaP9ypIO+ZV697YLVYf17j
Y8j9M5uljPrCGX+Y/rg63DOPZ18ILovLTi53JD0hAHQZeZ9Ws9IuwaCzmmGi+6GE3z0MSQPwjw/2
bpgW8YoesXsg6Dc9J26HCoa4QhQMvnVgHQv67eLzfjdaOnzv8rzRH3rNl6zxbVk7h3ZpuXgEwt1y
Jk7QkCU9i5hr4ilKB2uEELb8N+y7A8FDIt1NVTWhQq25NWybJ6snsDR0vDS/d20pYtHY8lsvpiTs
1+znkLb8T1IIsUkmYX2Q/evENjEUJAwtLWI01UTORPefwfUKYTTtTYnsQoQDUT0XlETqniEEIb5d
JM9mldpRpbWPBKjcTh5LotL1nLNM32/mMSjuOvAfnOk4inCR87Gle9bn2rjLvJp1w1qh1/Vcu1Wu
Js7N4iSPbmK2h4DEk5RFt15Do4Fs7AxHPyCdPE7LUm1y3s1bPZ37E2r5htjrZgkZ9RkBA+g/INT3
wMm6Q+k16oLP1PqcKvtIdp7BkubzD1yy28Y1RESI841Shf2deVsPF2wAH8F85ZnaIc5Alg8IJD3Y
soyBdCra5buPQviC0m6OiSjfu23VbYJZy9MQBePen9d38L/6FcPu6rHncJFMzU5Z6DnhRN6y2FmE
ZlkerpZHOqs0/VzWtojlOEJ8GSPtfcs839t+qe+sopCPY6e5LHVBesExmoak9Hn3ox40IcD0EnIo
td+DPHCfXTlU+zz3nlWh1zvg0ow5kFEurPOlDdt8zrCuA9y0hnlIEBt+0EQzx5OP1XowjXXj56O1
mSdeRlLxhhCpJ7F/y+LeMFzY35HbXq1sbczrxALcFpxOU7cLduiyg59TOZrflbCNu6AOVlQLtf0k
6AaOSJG2Y4e166ZOZPVMrRZRIRN3yZmk6mK01TSdDD11f0qJHytUkxkJfBZ3XcFjkDfYO0Jko4Jl
TSx0etSFjJQoaD8F7ArWwYxGqo0iggGL92JR5TGdmz029KoIHVs7tUTLP5Bs/33ItTrmVYxzay0Y
1ByHgcwb72rbSb5R/MOYYU9EHXt6EQp/yC++3q+bsrb8G4mZNaLYYps5VRmWaDHPtXDaNspm9K5r
U60HzGPTretobDs1Wf28cG5zFKlCmFxYWRt2BQkJIQ0NHEsr5MEihEObbgNk5dghbHdH13LDloMj
LOxWAaQx5pq6DxKrOy2A2ZzqvAnr1NgXJTWruX5xPJtuOU/tk2mIJioKbivuMn66mQB5myyxBYIn
bGY5nMB9l9CVxR5fYvBColPIOee9b5sxIn9xxcnsThGa/MwnnGEwXtRioxs2vQ9jdX8kfdu9MbFW
b9gEcGvQsfUNU5EWW9NI6yQe5YfFZWKp8F1AegfDGqUqyQTjkNrjs5nyo2a1s72ZPJ0YDK80DPYY
223P2pyWadggPz8D37SUE/lF2kIDoHTjGXWKt7oumgez8+sHNwdHDnM8uDu8c8NnhTL0o5FF9tkl
+kp0JN0/5w4VwNGhcO9xsSnjeemZeLhvFGvFNelL7BKaax0q4bOjXB1F7JZgZ9dc0xHQn/+rTXLz
ifmYk2lZZ/YxLZX8RAw4fMpRAiLIZax/lnTv0O+yDsmbLgvjo8x6dvrWXtS97FTyZpY9h3A7wVIf
iTWRn5ojtDo01ynwtmvpNI9Vp1gYZEa2TuxRaNDGdkDpLynQGY9HZhKGG7bkOz1m7lg6zJht8uYY
VKGRyqOqfuMVQels7IY4nhBr2lBuJsm33BYOcqlNg0oL85CJQzvEJ9zIm3x1Bs6NZIIaWTSLOU9j
hld+8opanmydGfhxk9lI+Xfach0BBhjSJOQwFZyKTLepTelrhlYSOLhL2spWRwremLxNPVYmHB95
QIBZ6tQ/zXHkU8cOv9xmtq3g7Y+L6UxaOoZIkAziGKSOMs0zSOAOOU+0OytwsC90riwjsCAuvUUW
36ODfqzZVYjRn6/KgpwDZkk0vTBAgUijcpQRD87q3Cz90D46M4oKbiF8azTjtU55jx3wEPKIyuJG
omKYdjVK6uw2mIbp5+SCjYaj6Yjs1tWM7KlcJnNH50XzvUYt+lB6QZdEQvj605wJuewVMHxytkd+
6b05YQcAarf51nmTcPNc0qxIv5tbp4q4J7y7YP/ZsgGX4SpOJLMNLBKm/Mw5veQhXzY4LZiDfmBG
K6pdMPYdBEZQ58UOJa2pokrn/Qlnbue6R4RuH+dc0tLDc8hERyK+KA662wOi9HArBYtL7vS86jYH
bjZh9q+oJteYAD8CXOvIXNVanbMJr0N3HSErD/dFWKEN/GYUOnLyqtWPcNL9fq5H66FOfXVCy5Q/
rysGu9m0pz9osD9Vnvd/AH9fFKVf/vi/nlp4kPqrcPTvtKb/z2lQUaK58MR/g4b/QYN692P+j9e2
L/8qQv3zL/0pQvWM33z6wXwSgA2PrOGr0vRPEaoX/OZBw6Gt421lGnNhM/4UodrObzr0P/JChIyI
qq74658iVFv/jfZti6ZO9EHIBPiBX5DrP+7c/yxC/YLP2z7aIhu6wkKagpz6qwLOgICYdD0l9Y09
MI/KJnXOVs8BZ63mfyU5/cJ//fosyCgEp35gI7L4wgXQa6CtnW80B49D4N1K+MRdgdL1eeEKnIjN
/TdZzuvnkXRpEj/tob6z/C98W69ZpseKwOfVeO/DWRe83IVaMbep6wQ/JK61tZRvPM1UwT395Tn4
8435JxTB9cMh3VwbsbCL8vgrz9lpumQy6JvD2g/DZ03LrBtWxuSfFtbRi4K9f05M/V/9yv/DJXa4
WhZb3/VZ+wrbs24V/ex79aEnX41pPxs+p6bO15CgIXWf6su//YGoVNDA8hC5V+7lK8lYXAMMTdkH
+0xL2hvPF0CPYDDb2re0N4zS7r9Q3BtfqBebF0i3EB8g3ebiml/pxgWRxpomakKkoTq2BDeR5pnk
Gn0K/ZnWNKolcuMOK519oB7KuHST0zw3QnhzlKGoa8KU4KDLQNX0GPaTM04MqZk8GSpQL4vp/4un
gFEYouQvRMr1+zIe8e6DQQa87F+oogZzcVrUw7gnYDC1n6j4cRJsmBWkStoyhBGCbsxHA7qoSkM5
OMYT7+By0YKq35ukQ7jHXyfPehHOe2ohRgmZi3iWKP5pb+rVJ6Evz8iHnXSzumbhXAOaTJowo650
QDxHE9dyqFF4Ec6LufqxYB++03pP67ejp7c3QlvUxcBsco/HAwnA2gNKffgTES/MEKuatj4BUcVN
bznq3mWVcDc5MUgBkYKThmwgC8AjYDZ45JKis5rQk4vGTGgSWGr84CmlGz7EXFOo28Em4fiB7s35
1OhZBbvhFOBFaBTM8NdC0C817ykpb+pemwdm6bLrfY4jnXgdwYte1163DjSCD+Dm0yRefeJX7nUp
25qw72uoktKLYIvVz3n3e11dwP+YXOspEa9WNqiL1mnGkzNcT/O46d6JyjabQ4NV/dUFuxwjZgaG
eZk46jLaPb+pKO05xGzLBwYg4c+kO5X9ZvRn570auY7+OnHdett4GgNu2up3wTNIt/MOiaCIbZfB
trNmx4qXNh/8KMDrKUKJd/7yx7NKcCNDWkZS63ibXydXZgPmDYhlQlzwa8qdpDhxjbR+KbNjwCm9
PpSd1qHnpcTZH7cDM8H3jCCjZ1+wnm4G0j7UFhkHzwkeO/u9lb54paSFl79jNgwW5J2CXpeUkOic
JwO9vEZ9oGpven3h9luiRd46LlfAxb2adnm7AURUwQSYtoTSxNPYc5OCzAB3za7Hollcf9fZDiqm
w7bf/7r+thpoWht9e5txQEMDRkRp1DWBfvfr3xmSpIlqalZYN8iLu3pTH2Dlp81M61I8dpIHOLu+
HoT5wgTAQiXJjSEnXSDOmEfAS+UHFwvSubdCOoJ04mAqXy/uwFKlcEKfRlr1KFy4+BR4XSVTXBX6
EiaWxl9oqtzQDxgwvUmR4KA12VFKTpu7RR8LwgDBz5KLEI1ThRk+S0b2bBySk4l19hX98/w5wZ9N
Ecl1a36P3cqcv0suf7aTTTPtJFl/COP0EuSMknGg5pLzMO2YXGf5JKwk26qcc3HSBAB4Fvxp1qnD
TF4ZJtbCuiPeBohrmvdJsKgbQB/15NYjR1eR5Nx2bbmzwXEj6WXGiyT0byOwHoV0ARlnDcnsZc46
CQSTTM7bYJeBzfMlaadOg1zdTJ4G3uS3KSO/bnLk1Nv1Duds+omTzLiDDPCOnJVcquaagPPEaoPV
Ylrmhitanqj7SPPdlWf/DIiqhQvQRpLDebiDIxEOaNECeyKumITz5NniZIDfWLO/4aQHLey79waX
411RIQvaE77Jkm14uPdCIrR4pJYSoUNm8IeQdVld2OZ4ls2kyfK9qyXs0uCTu0UO4tUxhuCZsrWx
CL3UR0LvTJO6rLginlXGbAGoIV4XONoqnMr5XbV++lw4LgsmAVtP6OWK7wX1T2sULKSrJzpWtxzB
0sEXBPJAoiRYgRHpPBGNQ74zCIHk10hjw4LYPjrVqgffVymMt7rXtPWwZvboH6y6Xy0KHIRUsdXD
+R5d07I+1nRy3C3M97EKRHKaNZHe95yCD7Q+PIHgU1Y19O9Lra6rf248yzoYN8XIdVJBwToPG5eT
5izMt5HGqzmqslm/FcHsPZquX3rQg/PBsUZt2lhzZ0S8l96NTTWcH8PYNGc1QlPEq20+15kvNi1F
RtCddQYNupgdMpTKdqawtpLmrvE0+6MyLP59wY7Vf3MybJMfgT/nSG47kbTx6qOUCs20HJEty1I7
1VU+cunqRITr4KQvEIlUNxHuAzlBylfBr7TzqNoqI0gz+doqn1lEYK89WWjMI/zz3FYihPptXkmb
xcLGZnvX+3I5LFbh31HLFTz3tMPXG61y5adecRJziOZ2w9IlGz/sAJsvMtX9TUpLGI/SCJOwSbOW
VAzSfK5Ga5M1vQj4OZPJt3FJrT/JmVsTkfnOOliPlOOF5CMipxDoDzGeNDyCykqDk1uJvN6kZsl6
30/9fskm1sHJSaXcYcrxTwHpgKSfU7MXEprFokUTiLoXFh/vOnMH3bqwj2M8wxecrPb7uhQs+L+W
QA/TeL/1tCuissx6ld0PdKJjeRezfZrHUacazlknkDZNfjZ0xYnQQHzssrN2zrtXsT9KuNp5U8Nc
95uFOphsQ1K0x8SwcK7Z/fG1jMbpYawzoMxjomlsXx6Q1Q2FKP1+WkDqh+mKoPhzsDXWqlmO5my6
DSUBC1G9ZCCRJxPpxGK/zmYnsrPpkESwzWvB7zpP5KRumj5fvIvdCdJWIuEONnadiugMwJ+Z2Lhr
PYSy3eNYyqKj7MlZHhOtdV7dzGBhXXqtOM2CWoawrEZwQms00qfZoyKddRO/tb1avmRd9IxHahB1
mucy7efQg2Fm4wyGwXdmykHjEDybCm95SBMFO3kXDMaT1XdX1I4Ed6wInl1eYa78ekW7ljteOXDk
0Sh8UEUogqF5TK53lEZSbtNY88RVktuoGR2nhsFc9V7fOJKagS2i10R/NrSFjmSuE6Plo2sBbT9O
WHaRtIHaUuh4qUpEWGxV4lqqzdbYLflV4qGlBsG4TMvpjpw6J/QMxg1CKpxtjgyyjIh/yDfDDPY4
u5D7NbZ6cnHNTD+WaF7urBp7PMlO8NXZ0m0geIJjBTF1y+3vLi0E0KGcMu0F3BAYb0BGNsmMrWfx
632KdSdclKfF1Tg7/B5oBBqQi5B0xxvSFBM4F+sBMjvfWH06xoae0uVLDW7YK9UdWoKTKNOqjEtD
aC8gBotESERSHholE8lAWsJPkomc2KfoYY/8okbm000wE62cI1aFn/jrf2rVciYUYz7wXDMYjJ1+
hmXVz069TBuIn8iVS71XiGi2zMbJo3LHJS7YRDdFl81bZUPX6YN9qwg/fOBusy83qiLMc6h3dl1q
oadhkvfxM6ZBdTtigcFylS1nfcFzLzR3fO1b07prp7poI0o5GSBVt6uCCsxsurdq48Lk12xNbdZ/
OvCjR8ua7JxSTjMosNQ0xLIm/l4r1h9O53JDyD1NyxhF2kzHw6hXLYO2NgkkF8kkw2WcrisIsD3w
bjayGg5FewPVpEF6LZ24lUSoCHLZWW1yFyo4WifcMWGiiCC+X8q5QI7K2L3556fT66nj704lPucS
D70mUmwgiK/H/nUyi4AdT+yF82vonxQYYn8dfP/55/zD6ce/2ilwZF5NuIgyv2jWiFoexqIdxL6C
PszDETniUycprUDVbLQ3rn09uvxaDv/5534RONt8LOJGVOouJ1NcPl9OXRzJK6toYXpUUbnvg1b3
+1qqSsUz+Sr9lnDi5eK6GWtxN12n3H/+6V9UqL8+ncgDDCtU7eA//vJbLxLqYDZcOpRpZzLD1e/R
SlxX3cIj/iccUsE/derDXq3r5I3RlMX911f4/4jd0y/X+O/tSPc7HvQ0b5u/gm8ctf9yr/4Brzu+
1+/576g9/7Cg//KZX//Gf4F17m8Gok6c3X5ARiluzf8G6/zfMBUjLA7wcLmIZv8brDN8bOGICci8
8fCE4179G1hneFjQUWzinUUpdAW+/h2w7o8SoL+8t1SJ+ZgVr/JxA1ktdPXfyzLNoRzGAIFGvBp6
N4XubOaYVBDahDMqVZQ87ZV2I3/TuLQUwoyhIZtu2qwlCSIkIS3dQFXnpKyIigihEPMZpNYiqEhu
myrzToPuWPWmDkgn3yoi0qLRrahkzauxoXF+Wr7RbLGyOIluJGJaTuV3QX1os3UM74iSvb5QeGJd
TYQeRhQ39asimh1ck2G9Un8AG6GoZ2bszFMUJb6XhHnqWM91D7QECWJbpwpUg7IXEYRSJC5f0LSS
s1+1zRRedZYOBjC46V3nSOMepV8N7mTV6tn1tYoDEkxWF3alPtZRTVaYhoFzgZi3Nf+uTY1SbSbw
dqKBYZLgfWsFmu7re2WUVR3pq1Ee+GM9xqgJjO8pqMcHRHyL41n38vfRdPs57Oip+yXJNvPtwGhN
Gfc66s/LCNtKYEad7+e1DD68vOtu7Hl2vG3ukbQT6YLAGXj4oirQMfnak+EkI2ciqmBeAlDE+dAU
i5FcxTXcHFo7ixfhSQ2/ZIajOCRGTZpw6ShMQm8wsAsgZdDeAoWWPkyoqrHjdJ3Q8Fm9995qZOKE
tZYPL2ZtZb8nCc8npTMiOZtza6BoWczeoh0wGN6MDr9duLqmz7OD0Hk9TchfXjRkyPT1TeRmwToV
QBQtTiPOGlr+hhtUlKFWO5JcH/DpH1NHVllEMNM1KT4n6ZwYlPxlMhOr2rpEM0cahlAX06c5N7E9
lDU7jRbMSTQlWZ/FyQgo5EpL1btswP9lX1lQ5HQIcf+VO+AL2M3bE/g2/yFDBAsY0Ozfvz20Objk
ca957HBE3+bIxENebDMeqO7597YAx+H1vIrrgUVxRXpfsedqpIas57QL3tbda95Ke443a5Hv9NoW
EcmyGbp8Ogn+6z2Uznz776/+/2dkzHn6QaFR/+M/bt+F/I94bD7fB5bUrzTPdd/5W6bI/x35IBbh
HNzg/z038/SjQSgqf/z462r/59/6r4QQ4zcXyBZ0nlpIftifxEyg/2bhvESW4wNAXGMy/kbMWO5v
rk9SALsEoXDMNeztfxIzlv0b3kh8sFhvHUySQNP/BjFje9bXGY3EALIdbGxn7ETwCH//tHpLz9w6
O81Bm0ppiB0inbSYtok2z/C9NebxkJZwcz4N5rJENQKsjSGVtfPSxNt3NbtBQqRgvb16Xe9kZ7tP
qiQ6G08mTbypi1du7q1tnbrqpWa87zZUT1rvQdoYB1PoVTQGzgw2ldpbL/E+x0YMB0Qg6c4hqGkD
9tBFRlJm0bqS2LBAIoUexjYgokChFMm6Oqoan0Mg0e4vtuj896aX9WFU6RqjioxHCSyoD5NOKFie
ng3EbftmyasnkwBxjDHSZhEg/KJ9QV/T7cxJW49yqgIO96brfiS+JygGr1lXw7pP09u2X4ZvZTH4
J/qK9Ms49+amqbyHaTSCW72wuo1fp+kbUzUAj1VO+9UjTrzMO7Yz5Gg7ImKb/ZyDa/TW8kAEm3fo
AVDoTyoXluXJODdecEyJuXNaVd7TQ8RJIzHL0Fhmf1ulgGNj2TmPQNSIpDtbZ0exbZJUlTyMctX2
Cd7iI+md2rGSqM1Ks1ujjGPERhZ6e9u5JP9tO9RvRTjP45MBFrE1kd6c0qR2drYw6tjsLJrHV7k+
iMmUt16uJSEanicsyur3pRzdrZwLcEWvlA8rtkUOIm4VuxAlG02o5WLnhfcxJioSzfKm17ncGcIq
9qiOzB1gSfI8+XkbF0Xifvq5Wy6342IWt4gEShLihMoipQbK0euKXSHz/b10+z4GX8k3CykiyGsd
M0z9ARAGlPnD75v5ZzovQbwS20XyAzLmLe+N/WAvs6xOSyG+0UZVfPNVu7xrLmk8YbM6+q3WltMN
CicsWrXOTc4DsmLoGJGAnwmqh7XEmKi7zRmVb3vLoP0tU5oYQs2yuz1OivJBtZ129KkOPZvMFjeU
4TFKXPsosbBQPePtR23MlxgTB2hAQPJDiTNOzUc3X2Nadkn3XVVvxdD2fmSSKJ4hSTXra3ZvETUr
4ofQtEe9idB318BunKY4m6YeKCEnXlrP63tEjPvAgZ/Kxqa77V3zHcWZl5w6q1LZjTCq727ee5e6
dXbUrhnaQeYjDUe7ihGBCIopmJvgd8DXLt/Su7ie4RnkvRxp8SI3ACTpZDcjYoFh/OYIZd33PqLc
cVuV3hMu9WIb9KOxTasmOM6tZ9ZhgI5rASd2xUUgMik4jWP62AvbK3vqzWab2QhZajMA57gUqx0b
/B1SA1oqTP3MQsl1ryexxhS6UGG3bdNEf10BgAcmGy296xaivr7rJAV0/VY6i/GAPX1MPhFvycjJ
1yBkhQsziozsLf1ljzy5Thn6QX2NmIM+wTExXY/B+hAUH56WLNrebya9PThtRQUatbYjiplfxEOi
stG+ndP6CgDDiZWM6jwpOv2pB6LcQe6ablb3zeDZn4ttDeXOhC0Ue48Eu2bDAIN7ZWCQCmhppPkG
LVEKalQrxLPYlWCSiMODF9Fn5NusfdfjWplweDepVeOAn+YFAkB08O0ZyNBsXfjGLrOGm7KaHX3T
thN5qp7y0i1SW/dMGpCKHXvmj3qFl7d3uMaRiwT6CX7dvOldTfbIRPpOj9Y6mHcFmUa3CM4RQeYY
kzA1JRunrOwhMkfL242Gme3wrvi7NuvLeyIMT2saGF7YG057UpmT3SRwnXE7DxT+VLCTvFRTLrrN
2IxGOBSuefS9Hs9Kg3vKH4i1M1I33/YpaUUxc67+6FWi2LqmpCUP6koLXa1p7gAr2wsRgy65sN30
6iC7X0LTCm4WUPqw6npjUyo73Q39sMpwpX9JDymhW37vlu6DPaq/uzLI/8nemSzHjaTZ+lX6BZDm
ABxwYHMXgZiDMyWK0gZGkRJmwDEPT98fpMwqSZWV1XlX1+z2Jq2sJDGCEYDD/fznfIfTd8imd0gE
TWSiFo8kzMI9QzvvvcNs5F5KI+ThUOYneJbtLWZ6lCrcMecBlep1ged1N4fmtlVudGLpDI9Y1cRz
Brh4i2zufRzMmj1oF1r6mDr1dMHMuVwzTMO/DWdvq8c5/QRM1jw7dTXcMPXad0ZJEqsTSxp0sIc0
cpYtd+RCljvysynDK/8AHlG/J/DfQaUZ+oPZlMvBGQqn3qTmOOKOMhgF5ViN1VoBuW0my7skNku8
DzZqq2F8bEZe/3Fad/LWmm+jrS2+03M0BsMSZztyMdHB5RdYXbZDvjFHGbM0LvLZtmvUtcHx9cvg
Wd21qRbzy9Bb1d4BPrPLzNA80rRhf1jtljvLr6KtBuW7ZyynmTl0+U0Go/Gp5z687rFs3jmYFq8Q
U8tgicv0KoNaeqjtGCxDhavQsXL3mC8Dfe4yucL0Gn8Iq17chKEJFIZpBDuBYsk3vVeJoCpscdNO
mOSDhDv/zsHZeAAO1LyQhQvqFrM90aruvmnJF2AC9dxT4bf+/VoNdDHTrPo8tlG90VMhdtkMxRRG
7gcw2m5gloVg86CYThizvUuw53kbYaJplqHY0edLgVySiItttEwjePojgxq23kozlkw0ze69YfWd
t+3BhtIjyhDJN8aKuevEqabmNBcsvjevEEarQ/H0sOdsROaaET9NjB6KMzd1M3RbzIXOizUR6Zhk
nDIkEOk6YmggtXFXuRB6H21aqZFEmSIC7XvXurNO7v/+Xv7/S++VpLL6r/b3t82X6Gfxx/r+T37f
3Jum+xvHL1Y/y1f2GoT/xwYfleg3jE+IhOspEKHun2KOdH+zmJ2v23ihoISsZ4w/nFfmbz5toCsE
BUDFKg/9nQ0+e9WfN/hMOVcBFl0IFcMBe/aLPylr6ZfGap/cQRG2ScwDJJxwVkc47f2QmvB76dZk
F6qcGro9TyySqptxSNyAcr5qnG7ADbNiqYxtBnO2rLMfYi8niPXBYeycicDNyB7oocyO0VKK8Y7m
RvHGlmoUDBTaEpRMY4Le2Fg9igJECyo3veFQ+ZIQalynZ6y85lebeVq18dva+2ysSunketFZZbLe
VFW0YMRX+YPjjeGBh+eytf0ca3yW0Gla2m5P3gFnSMZDVjeoGLbEiCyMz1Rd8CjFeo0X1lc3bjwk
p2RZ0qspk8lJMf39BGPW2kmhwd6yJMQPjfKyeNtW03w3gGnyt8SJiGjamt94Q+aj86Bi5ZSfiji+
1GG2j+iSC7podD/TddK9b0mmpDcOFtttm2h1mzSCscqcTHES5O7sBB2zWPbO/uQPm1Z0yfyonI75
Nd/E/BzOVbkxhD8QQJzC6FFJG+ZfW83Ma2be/ilxw/iyjNP0zKjAdA4uNZeniB3ojuqLtgwEVVrm
XoG0ijYqsfWHuYFESykwIy9s4sXZoNJ3Tdp4kHQo+/VuvWxUGHCJNfOcAbfLpHuKW7q6nLZttm4O
PYNccu2u1GdLBOCjC6pQ8hiVRvT2rhXrrsZI46+qyZmrRkl2bGmN2I+RDYy6TvptX8Xqnq4VJs9l
nEVb6sIqVueiOc+VDDeCmoh7w/Gpsx4KZodSzQZrn+O+jRRhbCdumhumC8uae63o5NtEMwyOfY3c
dSUjkc7XouyF0mcLE42nA98pW8/b8UFInOYD5b53MqtjulbLxJQbYRN+LgllMQXZ9PScXo1hRhp8
E5c4CbONNmFpbouFT++ehZ3vCvSyemQQScWRAturnxjRqnrjVK3Ag0b6Gl9BzIbOnibVbl0g69U5
rcKGsa6O4jdwC/RppzmVIxxv4OBfDQ6OnSDkPHLTgki4GtirQR0sxxcLM7reZDhPdjOTT2rto5mh
WltZJSQDgK70pae5VR0JU+Vss8y5M4NxiYzuKJpCUXaRJHfJhPUviOuB4HrVhAV3NqdYIC96TijG
BigwBjrUFJUsS9LXWxIodlDFfJtbPRSDGYjSaEgzG8SZ73C2JG3QFH2hrqelGG/y1hGHJlP9No7s
aOaKk+xLUoUhLzdUcgOzP6fllK0s5U8IHA14Wgz3VtJWBJymOjpL0WKh6NLl3u+NVwO8EPcUJv0J
1SqdnZuOJhxSnDVPfFLZnOqnkBQltbV9/G5ZPKs6yBDC/IH/kym6b5Rdd2Qlmh9JWuJZh3LHdCuh
Q9w95CK2xpNKQ6rtK918HTGJOD3TVztx2uVxyCx27CPh/gpXGaF3yoTNi922gkre1LqXJcWCGxq3
02KXRqxm0AaA3c11eliQrc+p4c3Z1huNabqazBFfot2Wy5ZXyg6eF7Yrf23diPJdVfuI9rmttUj7
3tCzGPZ2H+dbNn/WpXJLH0hpavg7I9Hs/mU8EUykVnkrbDCmnAyIsHxuakWORXTGe7vJh4+tmIZm
11RScq/JieaBlK1aYbpGd0KoIHRls5WiAhTIzIW/IBHpDc1EzLFc9oQb16Ph8ixbw7EwM+LdhS8N
x00O26l348BCw4w2jttE685eD0eCdna1C7tijLpN5RScjhgC9OC5yzB/Z86R/URS+IPkEiZ73k6c
aPxSWEeIjereJVWwjTrawDuL4JXySyV25dJZu5yitiggCTU9lGErb/LCwitZNHhpr8emqq6XbnHT
g1dX9nPdTc9kgTg3dxyhTRqAwxwsPLhpfARDOvXXhSY5tsxm+8DUlWN4xfMruocHFjZ4/2ROncax
sFWnEGI5BEThuW5ZNW5IVJn7/91P/Y94yqB32QH9e730lOdJCZTgR7kUZXT9R3/IpQrrubLg8jJA
Ws3s/9xR+eZvOMhdb+XD+SiKP0im0uKPcAdjgHcVP08yJP5DMnV/810FX9b10Vp9SP9/Z0eFu/vn
HRUUV3jNPoZkdmnot7/yuBM3oevdbOPzVJsqwZlYYQ1LicPpWhkM4ydTgn9I/Ued1aRuV95NGIgB
C8g2aruqPjZmAejNq3L3vCxKhrt8qJZx0wkx3feEQ+TBTHkO3mc0c32oyUQ5AUnMKA3wTvKEQJaj
V20sPOp3QjgVPMhQATEg9i5KIMrKpqXM9LSYSyc3ZVr5u4UCmmY3rARfjtsV4ISWR8BGekb92U9n
9erl8bDtPJ+0HdXkPCCpI26D2WNbuTWjUVpXvoVs0/qFez1KYkTF0D+0pOT3qgXstZnzgeEaW+3k
UafpfD/Foruh/6XgTuTUuFNTZRBu9KbI2ZSOiLyNm+qH3NEDMdKxZr5VzUe2Uf7Z0k1yYcNIVabV
EHGuEAud0nFZkmJ03m60MrYFDnk92SnrQ+7DNEpYEh9NCyaLH8tPEeHaW6ea/S3UBvuup5r1NFSz
3MamdRe7S7uFR6B2xpwwLmJJvLOVkd/Y5fjgiBEhKc9JnutJxa9kTfVBglgOGlJGF7MoCJe6U/0w
NLZaC82T6LrtWbbGuLR5b/3SX4lxV1tVdcNDqvia0o+wH0CV7hlWeUHUqPaBsfCrE4bVlmN1SNI5
pr+k5T8E7j740jA3LH5loHNqXUb2FQoV6JHiWvvBxjx+sfEB3UFiIGqfxZ9TUMYvTuWO2yWaLjge
561DEnCVMOWmcbVxP1RT8Zg3WRGUWd7eUGgcBx2fSBD62X2Tpx3mt6xnRJi077OJqauknuNmhoex
1ZNj7ZggVluDWOtWDGH0bvGobmQjU+N+SsvK58emabMTWvPkjGtxxtv6lvP3b6Ne5vdqYOC7ZTPr
PyhcZPeeJQe832Eablbuy41cTTSpHoxDxlzvsFD2/SAsrmjl9t0VWzp5mXNrg7oh9yaX/TV9DcvH
oVEQpIyu4wGWxuZWywx9fjXQbOssGw8IEdHeqPsL8YX2jLv9ehhaXIiLS8UfVSJp4KWTcbTLfOBM
wzUIwgQIRB8aXeAu3ZNh5Hs2wQ/wq8Q+xOg4YAFr6/J5Hvv0LrabW6MjsIr8zFZYPpi1yHelp19b
rdSJJ8/TvHIIc6v9VLAt3hPd6picJNYFiY4k2PpNzW9GhJuxMsEbMtr9IHt/CqjfCI96HIzr0fP9
XdjraJsK+ZHFsL21NJ0+yHgVCHfqmGeeXE+SsDwUGPadRQiYkSQKt5VxVnB8mddaH5nl1Pjvi+aQ
A78gonleuuSqKzqk5o6pb5nc8NTFCe5S9thIZvI4sHcUGCR7LEFTILO0ffCYsN7jX4tOUAnBkiyZ
fWKkNN0XNEccyi6DDaR1c1iyyb2WzUBY1R5PzYzLbDua7Xg/yu6pNxFbjZr93Yh+UnKDVTx5xWOZ
GjL3t7XZWCmq22gXV8TlborG+1zVmNVcd/Hfpfas92DB0bk9ytAQA5NbJ25fSqnlyakLaBGJ+eLq
wYHn3YjuU9vwKwPY0NtG59YFibrYM+bjkqZkJxgKmUMrifO7mWV3wyicL6tisxEoJhYLR2Wy16zP
Q881mMzT/AmHNPGCIhH1I7yBx1K4oCS8srjlRAJBevDzXt9FuHBOth5jyIqWVFRCOYMgDppWJ3p+
MLIlKGXsDkv/oUvVV12JMYgs4ooj52ni+J6Z1PDKOm+DobyowkAmBXOsoOqdFMhD4hp7Ss+XPQpd
sZ8xc3OLl3Cbpv4pzgmsyCN1O925IPSA9xNG7istQNW8Qa2CkoVh2XJvkbhAS2BZ8o4ZY4YFxalx
7yce2EhMdDttspFL79R0g/PcmklzjpdibjeogM7njqs/CZiSUcVkUlkjcQ5q9VDDXbK2oSmac0UL
wLmeQ4NRd1pGNNsjZiZ2dBvnff7oGamNgjwAioopJh8Dfxnjj9qT7W6wZHE0kbZe0FKQ8KHZQOmM
5k5eRZicyXhKjXq2jMC+B+1xf9jDMGwQ/gyGVKAQykyyPwcFOV53Q4ujbbJqARdinhoOcKWO8M32
9oQdbOk/CLLTL3Ujko88kzkMkm68poe9uMXL7n8VKP/wg/LQfmAiOnwwqAi6KYQ6KdPNvxSF7b45
pU+5ShLbdU/mfsixACIoONVwKlhtg5b9w7zFkeutIxE+RWCpsfeEscW5wl2cvxkpCt+56C2Iaq5O
xvuwlu4TzxF/p6cl2vfzbGHoV0qH8MjNODo1yTS9UvntSxajKHyCCDasSEv26PjTjbskJY+AUl40
H1GVsxs711HEVdxJFVh+sZwwQGZvsquzBz2SM27zkTKVpQxPGabKLUWq3Ky66urbpbaJuLZj66G8
A5+izNnysYJjCP/ojPP4JfTi+pMnicSXRupzLo38CDR3PRvnxkyHOwBlBF2JEBmvkp5mykrAouCN
9Npjz1G4OSpj1J/8aCrRP5ewP2mzs8dtmqT1DJG7SD/UWI048FV295DKsM9J+dv1jdvp/MQ9Rxi2
t4SeObSgWfDOOTypRnwM/S6UuzIRDJnMwXAOPQVYDyGdz0jPswrKvmcYgeScHlieU4/j6cCpPbPU
1Tx29Zmpjrt1teRUP/TtNl/lWoYUaE9eI3e1cOoAmgyFXjFzEwxP+t7sW3p38Ghc5cbQw98I4W1O
KtWnVskGb0xeNh+zJu0UBqS+NQMomdVzNlu6JFHjz6jSVIJ/AflmX4dMgrZoe5/X5uf3Ki6Llwol
YW/H+ZBTMokivpmHrDICGG2siM40i1OCtnjtL1J9GnBfH3XMwS6wIjrAAKPP9mdFbeSlC037ye/i
OCGuYmOSqhsMo2WFjECgl/+ZLX3mHYERzA9eFhI4mazYfBn8AdxC6ehPEZGLe8fv/DJIJ0t8pP+s
Cnech3uuJdH2nACV+ebXVp3uwgIrztmr0vAZSFb5fl46t93bJXVXfdvPhyE1DNgTTVuDQLZxQkXZ
nVj65Lku1U2EM7eKiwFogbEbmTUG5dz597IjztMrGW0j2mKTLWMK65bQPoKcGalD7bKx2DjNID+D
f7eAnVY6eirlrIAUF6s9yzSoSgrMNhEQKaLopsVmvRuhK56sNB8Oi3S67aLtfN8L0V+ZRrxz+6b4
EqdWzyS3dxV0P6j4mAXw/GcukYXIUeFnV1bhfqgo9drwbS5toBvZX8fWlJ0itlnwtkJH4ABrIoBb
USbTN0ofhnLTrP/RRpyztNjjdQWh8AOWtfxd4oj4IBLH4HwQ9leNJprBBe56FxRWP4gEe0SO32dO
7ka7x+TcH73ErwEZEpV4bpm3NBsaggbYOJS4hTutLXdX0855yQxTn0dyZ1f8hvmVhXr4StNbty8S
1JNC18M+8u3yVOeRvbWy5YOep7EPTIvS7siu1Z1d18YXU9Aa97+n5P/JKdmGivqXDtIPSftalW3y
k+v093/1xzHZ/Y36Egu+g/XN8ikQ/v9wFlm/YYhmvgAyzJOYQvmjPyLfWEU9yLUe+V0JVfSH3iFO
0EChKQ8h0MyT+m86i34eO+B/8x0Ox0RRofXj/v7Vk22ZIs56J3YvUCqa47egsGPCElhmSueDjnnd
yw8ywp9Eof/sBRUec0LfDgBTk8/3R4h2xm+t2SQ7F5tRLI+AMTksPskTl9PKMWKDdPPXr8eE5gdz
+/dfkPEMnxc5eaiXv8xVOGgvrW8peVFV7L5A7yYLlKbmu9YZksNfvxSCx68vxVfNd03ymXHRr+ne
Jibq0WemvGQFmdBEgShnMoutALmZmPlCyltlqXnzP7DW/8lvyZW0WhqxBPvscX7+VMc6G2bB2eBC
Ra48ccrBBkHn+WrUiAjn/PXv+c1Y/E/j8bfPlCuQsjOUAii+6z3y43c4VWvj7JTIy1i5vJDSa0xv
TAUp3qFT6L2lner4jJGsZffQxEP7TJiWI+aUk/MSVun/B+70v/76ruBicrG5KWSlX/urUjNmAxKF
8vI9SesXcGYECIPD/+VrmSY3DW48FKZvstMPvOQotYlnAYFCgiZc2EsCWaorpodvoeS//qDXz/Hn
z9lFmfek4yiG5uJXgnTSadInoIUvmGO/thYB4t4qjP/wbf7ZZ8citJaDCJNV6pcvUwyphICdy8uS
tYQSvIH4gYcmEZgYxZPvSQQMoX9OmPiltmC9dFwBaWHFr1N+xLDm50uHU6o5LHAyL6mVsKW1B17T
DA2SbHlDttgjqP4iXWAQNlCaB+gB9gmOtv39gfbv3waz43/5ZCXLnlhvVTz+v7yN0KKdMnQzuGFe
Z51tZktrPRfQNW20XKE17Wu7LLMYm81UqROlXm9eR68Fi37bHP/6a/6zb0BKkgF4PjCgil+WqCzn
mF5kmpt3DYMLwRlpLPvqInXznwgNf/ZSpGCAkCDK0iVEOOGnO1d7DXWutX3BrD09+H7ELcuQmKXe
c/km/vr3+nmpZ/mWa0BCrZF9Xu5fLl8YZPjcag3YlGz3gn+DjAsCHNH9kVzkiun1/sO1bP68BK8v
ueL0iBahIYt1ov7z77d2dxNrw5spQuLB0gNHtmmbdnpwmf88JDQiFTvbAacYe7BUv2Xy6UdiJmRw
Rgeg5tbHpebx920FITCt0YkXi4BgSDSdaKFZ/acPiYLZn67FtQkIL6ziQiTYYLv/Er8qPdB1U2HL
c5sLBJBVPKhWGSEyWzIblShm5AVAQQ1iQ5XqmW4+fth9Q3CKY1+a8x5hVfJFhpSQvi1kAt8mXDLw
X+NlTYjWBiuvaFJz4DA1MvExOQi/1LFH0hBPwRFibffWUB4AI4N/hwUViupopfXHblDVxYukDamM
D5BQdjrfYYwBF4HDwn/qFoxXAdCH2jyarcOPJofeEEL1oWsEeZOE9kqXAkKYlzWv4fFJI6LOd3Xt
YRGWA8ACQGkaR3JMy/FGf0tqV3RpHYxw8d3zSHj20nZRQaS1MUnmf4OYZAhcH5WGQXsuzASYoQfe
xLA6A9GSMFXyyZz9NcW72G6WkTsdwycgSVx7Xea+IPNxtUtISi+z6bdvmKnXJ/QwOC/FnFmvIL+s
41Cr+qFxCRE6o6oRdyMEUdbfAc8Fo+siMGfTfGfYNTfp6ghCRDMYLUs+UQIYT+DLaI637fatabEe
GZVlvusW0iIbkg7qoW2j5ckaCLhrf2UzFC7IBnNq2resiCzEQRtmytJyIgy8FdHQ0wJK4W84o+iF
JT+lIB7ybun43HCeckj79pQreVLjGXPBw81F3KRHxol4kWb0CfLdVLHNG4JuC9mcdWNiYND6ToEQ
qbXyFWd32uUCKDGye27e1EnNVZPZgnSxm/FpzmmqAdVV3trcvOKFz3pdLw2m7IAp5EC82Zos3gyN
TRmV4mtQ2a1i7r9KRCvJfKWTxEaxppMB+HpBCP+UYT3GMpiU31yVZmlzLXP49J/o7ebHYmn1VjfX
dKdNj2dR16ls2s85z+VNV1LEGDBuWa4XRT10AN/deRkq4tBu3PsW9PiGNjTsp81jZC/WkZ4hXLlW
5MpP5TCU77wlma/zmnN7DZwHXrmRm97eTFDIkhyRKMpnXqbNpykYy6Xqt6IN3Xew7RJwmq6HzMl8
cr5hZAaBXcYVuc3M90nBtHYwOYYM5nKZ4V8Lh5K0WOtzJlabGdckbgXRlvedbonmpGFffKmcpvtK
hRAeVwumoe868FZnyKNT0GesTMGSs3DBLMIA2BmzfnbzrGmZVszuKyw6XJBdWV7hdWiiPVUFCiMt
lUtbM63Kw1D11Y1PNmjErtzGnyIbpioGRn2NWcU91OUMTGPuaGXw2tEFiM1Ef4bqAGB3rM6MuaJ5
M41y+VTmNQ08jgUH3hz4Gr3QgUyejeWnVKeqo5c9breZgLu+bkapLJ1qWgGapjB2NXvADVbFYo/B
rlsXphBtQ4QPBMGNE32I+pQ2cbunTWj+EoJW3MVGYtzPflU8J0S9gnwuaS2kNH2TwqbA5tS8qA5H
BAQBA+55EQf90Jh7KM/8IM+4kUy2WP7tsKo2ePiZPqwh0KoLshp7mMPQRRE0Xb95PV6x0/WOOEFn
Z1tCUKDbK+SFELxD5oNRfPIq3QYM2pBEqtnYWUXVv9eZS6fTULb73snmoIzFa67QjfwcuE7ig05v
DYpl+pz3ASUSAiJ2TbxPLO9XrqxHBiuCb1RFVnpVMWm/Ex3iNHAZLmoDw1n3MocdgXOQtkBoVgrN
rtJMhC60dLDBtkBj1yv1o3uLGsGCVC2++W4mt2bhmx7AJEDAjnZePzkYKpN4KjdMNAUzexVCurAc
o/oYEve7y6faCL5xCbrW53nsQSdNGIrI6vIdmCPMCfJMlnQsQd9QBt+gMMbEOQoQC1s4d1jMd4Om
MyToY6c+YmKA6++Ymf6ogcvw1tQAdCHLy/yjVdUR+znS+uAL0Lawt8atLj45KK/666wHiTFTIYrQ
/9PuylSOX4AR1BTiZIbzARcPonfst8e8mvGolVNEPXdupvHnduheUk0JkyOTKArCmeXjOWdQZTwm
cJrto2fF3s3QEKB28yTbxeNYH1PDXfaztxp6/ahQyJpyfI9GVzy4kf5q5cvzBMvpNuus7si6qnJE
Woz1stfWW9TF0duSJONj1Cu+Oe74dFdDLvE3MlLA2Ic4IStS560646ug52oac43qDLxkDjJMS+MR
p40gj1DN13WLX89dpgRTVZH15sblW8D8QIT0ySgHJrMYWfPrqWnk7ZKAA6xN2T8UoMaDtSPqVQ5G
DnF9sT9XvjtcOlcv1sYJLUankIohuZGtI7O5jIj2dc5y4YfONi08eZ7H4XOojfGRmF2GVtqL64Yc
5qdsdLMoaCA68axcnVf1bEc3vpyT62YC00lmDzdeTIvXi5WM+oJOiIk+cfoLEXOiKLJrGe6YLHl7
SNGEayYaTol4ylBN+zgv7XdupvVxKO3lUScxDZBzv9x3FKpt/CEaP9I2Xfc7cE4yOU/I6g6zEgFG
1wtHL7txJ4TYgx/37ZFTrnGVwoh4j+5l+QEdjgWxUkOJ7Nhz8dyMPOG/mkPdXveaOTYsyPlSpi0z
Yu3HYctwj+NFzOJ2yCRjgECzszCoKVLDfWQNI8aaNES6JG6ETDx1NoGW3Lli7M0yaovZxzWMrXLc
WgVFCDiVK+u6UzPc6dmvTW/n5UqyIJrjl8py+3DvG/WCzSiSJylra2fn7nJse5U8tIVZv2cA1z55
+Sx3w7QQRElXFoai50JiZTQ305KqLcMrxYQnXOI3UXQ8hzpBwVtoDEm+lXxUd8PCOQWqrWoCkOnJ
LTzR6b1oRgOndIcLILFre+8ZdqOYTJXOvm4V4a7KSnw4lly7X7GFTR+0Z3evZNbV2+ji5NkL7fb0
auQmmMy0ylWzCWnL/Yrzp062TbzM/VF1+qsTT9Fdm5I1ZdzXdmd7nLCMVlVZb/GXMzyQqmnIVZSM
Z/Mx3VnCDbutH615qmWeSPnGlcKV1ssORbUH02RINTzH7gwISUVLeitIoAlix2V+W/p5DjkTI+d9
bNh8a98nbMX3edv0ffr27VDzv1n6/5CltxRnyX/vF4Lk3P3XjlEKidH+J9fQt3/4uxjqWr9xxuVM
6CC5IWranN9+F0Ndm6Z12BCoN+AxFG1D/xBDyc0jnq6tbciFDvoW7+R3zxB/hK2GI/Ef8qr5dzxD
v5qwiQK78BpgNBBV/lZz/fPxsUgMjjgUDm51HaoAMncgp5doirpj6feUKJLoSM6z3SQf8PU4wFrd
R8vBLCsL8EYpQ8V6lM/m6KX7cFGfozwqDk3e3pmjwHVSGVtPVY9EoVcu+Hhf0SXT4cL5fgb+Wxfo
rf5SPnbNly8dSd5f47s/pnf/z//zkd/Xfwd3WEuS//31GFRciv/18AveYf03f+jyGNG+Sd6uSWRt
BTX841L0EN/JpjhEbSmOX6/731V50/wNjVxxlcIsA/Gwyie/X4gOovzqd1OAHb852/7OdfgvNXok
dWkG/wZiRfkj2PnzdUgsHXbM7K/9H6vACjmp241V3sDwKaYqoLuUvWucWzcN0hb11Djo84oZmo2t
5TMnA/3xh8/u7rvk+CO/1PxZL0OVgtmiuHORqSyyzt6qK/0gehIrc2U2eGo3r4TUmE3FqXFbH6+W
Hu94vCeHwU38q8ri4VDPIvxQWkrcl0mzvPvrd/J9QPBPUXSVSUhUuzBqKenmI1/XiR/filuxp4pr
TKmd79C/4RUGLfRDBboxMi/InG80kkwBWyVUEw8l8TBNVXuhWELt+iEUV4tTmncY0zhg4Tt7tkKG
0NhFij3uFAg9JQPGuMMCkhSFz5OcXBhBHkHngnione41hKG5wz3dX2G78a5pdIhvqpZYGoOWDlgD
VDgM3UlDQHMyHlRclTdWoZwLB7JuE5qauin0PusraoF7YK8XXqjJLQmmuQoPSX4hrEcnJIUdcJ2K
/jDa8rXoQuwwVfaJN2Kz4Ynnt6FbymCCCUGHIccgqg0fZJ5fJj+SIOTclZJfTMQhZUyh1k2eQ++o
hf2qjOyjmwqMcPo9QQi1h8BrB1aZXGdVnD97a39Grs34PgoxH6mJD5iBiXPVCAzGwqzn3Yiadg1z
jHTHGE77LHba9+VYZoHnl+2pJTnGkRkapD8v0wYkP+3f6DQECzP71h8r+eqBGNuRU3VJT6SvBSVj
gL8I+N6CwMCEZGLX3lRgEWltEvOXcsEgMRYAQjcVRvCg43jNNiB2G/lCjVSSn7l0r2CA00zV+GaQ
jcuVC2unHQwRGMOTdsSzq/j6dFSz943Rwwy3+GzMzdlu46+ocZ+qOu52Wc5+xU87cSS/JTYDbUGX
VLTuGvMtt5Obv9JjlW59k6CfX40nJq/zxsPJdF0SKz30a8HNQAHSxnHGC9zR+L2VeFmQyc6gKIa2
GA5JcDPsz6kf7tsJ4GS8Gp2SzqgpG7Lyd8pnr57F9VWcx5q2kvktJYy/w2ZGJHE0msOKoAoaN/5i
pvpYzeVzRihzY6Vhd9Q6GzctcfdjmDmPQIR6Dq81Dg5BzEZ5ZO9HdWsvlYVHw/Pqk8DBussm/RD2
jYWYAVncrhpxp/N5nva9F/p7ciHyLgqj+Yj+7b/n6ctXWhve1aIFQkzdhsk5TIR5W7nZdJfYHUdQ
b1b6YgKluyvzcrgqu5G80si+U+60yhwn6C1snNueU1cW+O0YXypWk20C6n9bYv4hVtvPL4kQ2b1R
uwcs51yDS0bf/HVLItXktJy54cX1B9Bz1eCOaZAUsFVpX0MLRKIlXj5tJokAgjG2nsx7OGrTckTx
ngH1OwhsBzlqiiV6L7sdyZo6DOSRdk5OWrwDxu9suyFKKLFnHz93cLeyBaPp4iyCvxprtJDReZjT
pQuIN5V7C25XscFxT1tAZb3kyjdfWPCyu8aJAX+FhRKnQSjaQqJsdj4VMjS+iFj197BaxTuDwdy1
HQIDxoGg6jejCmlNsLJ6bxCDYhoyw6Yj8X7dmSPExWmyjmpswx1UmuqEQBFvof4tB3vMC5q7SC4d
PT9dPswFN9Y4ifY9vln/4PnD0cLdd7TGRH3NOh4fW2HSXgZEp36MgXImQUOi5zI2OkmRT81x1Yri
A2UHZKNTiesycShmIZBUHibKHQNn5kJrrIY9jedSR1RyhbGmcbneFZPTPcVIOpCDOf+WaCMGrHts
GNnT4o+uh0fQLPAMmx7R4I0XOw2VIR4eOWok6DK6wVGU7n2/nXlp4sk7m2uTU3epnWtdCiq6irJz
n9RaCRWq8oruXnmbJWF55zlj05CWwzAkM2kCb152lLnIMWjKpn8dc7MPJHiPU4qBeLuOKjfS7Mi3
aV/bPLEAvaaTM+7S1QDkiURiEVTJISv7tOBqpzWl9sPp3FO7ghOt6s13eViBAqyHFuOdoSKH7hq4
eNgLo082Rtryv7k7r+XIlSzL/kr/AMqgHXgZswktqEUmmS8wpoLWwh34+l6IvNVNRmaRdqfNpnum
Hq5VXRaJCMDh4py91142ozcxTxT4/FORPXreQKxOH/cUeIoySb6NgjioBkU8gjnaIZAZ1Q1DRt2I
GUpZlOiECNaKqLW30EUf6PxScZ7B3b6XOXsZkHSNe6i+0MOEPAMonPeR18ido/v5fTjm2b3papAp
PLmPuP+Xvd2DW5oCvQHigCM9bjWoAMy5S5lkxM5gHuIhFiE6ZcB0qhkY4MNEKYTS+IoDo02pMiO2
zk+IM5MkBS7gZlQPDUq0ZzJIgaflyjc63Py1vcTzFEK0HnCU93VHLyAqvTmSvLGrSxHZLodLnvoC
GkVyOXCLlxp75TmH0Wkf6i4Ph1Xdx8Ed/63eoo7KSWpIfSSnVXprFR2sDTwr/dKXjXuLH9CgCNRp
DcfjGpdSWFfTNXm2guqEbW2x2szoodTK7rQiXJtelT46Ze6EO2csmQYG1T3ko0BiOUBmTpiZx9ij
aDgN+drPjID3BYH3sNSgcD6MxLfchNBib4uhtIivYSufu9l0kRuV9olKVrbUTJ3mBcmOwAidgyEn
uQYcUD9n0O5XY1Baz2ZXyiVsYX9XBlrN5BAVD21DuyWsdfcyyvXqZvSy4SrRGn/jhjZAlVH53FPe
uxD3xAaHGHMw5ge0XzaffTEa/WURJBazVpw8Na6f3vURe0K0qw1OgSagt+t197qZwuBy0U9FADA0
qh5lb43rPsFr5keCMEPDs6tnv1XeRSDrB71IqhdsgoxDJfwFL4P3gi6OpQ7FanRDZJCerQIKfxvC
n7LdiPzh0TWKYeL/arq3EDep803ZmH9OJkV0iZvlAHMjTVvR0SV/mu4Saz9SWiyM7cTbRO+5OTjI
bbqV1dI96VQYklqFPEo06cbG5H/TTLa3kZXTLg3DKm59PasudVOY3zHnazptLt5Bc8oYLBAXkI3b
RJ6NXTTtEparI8X2ZOWFo74zM+JKrdpQuAOHjBKTXz2fJgjMef1FAvX3+RR6kHV+cFUZoDDZwem8
afgQ4/2I/MxeMrLwWulKdyEF2Hp4mKSF4UovM/Oh6XJv1c401aynhoWqz0YotvITqir3QZ113+Nh
YCpwXQQwPBwibRTpUI+IA92WnUgk7N0p7oYOx4yagBrY468N1LbNA3Z1LkWPm9OyXJstiYUo5/2f
xQyO9EsPRGyr+325ADIPQp40qQCOQEn5128ao1xx/CZFzK9JOoNYkCVqAw1nvDk1qyrPkE8oP7yl
joT1JsphEQDWZ3PvWB2MwnJqL3EfE1pk19SPT/+SnQYDMnHmeBQ3qKDpgiWCNO6j91shjCZFXYOI
2y9PKTuks7BbiFTlfoscKKGuldp7RUnQWtpubu9B81C6loqmHhU/NAEpDY9WaoxPXySzo6xz+ZE7
QHWeBn1uJIfbijo2Yl9ERMuur4l1ojbdavf5kMtjU1IRwz/MxBSOPf/Wo6x/4+PW+HX7Q3/wr22n
/nVU+VsH8f+KV3++0P80zJbNjvjVge03pOJj9xK9tozB8Zh/4a8zN0Wdf+iovhApkRRhAuP8jzO3
Ydj/0IGP+thNTy58jrz/1MKZxJ8AbjmdxP86blsc0fkP7UeUOEgZzL+Ve3ISLL06U+JGA8ymW4SF
Iz73f1PB4WGIo3L0xku/mDR2p56sxnFz6svmOekgZPLSNB7CsDq2DgmJxjiyRuIxuhlntUBTYys1
Z1h+0vfEXcSGukMi5NzkldFCMiozFQfYli2p98O0y3PXDuSdJggeomniDySkPEaB8vOKkjXmbjpv
A4JRPQu0az+3cYSXDaPVhz9klN5PtiZj3O8khTFFn1L0WCz31NW1hFQArx7uq4GbfK8V4H7WlR2Z
9jpMsJoduZe2hZmctqLOZWGPVMxdYW6GGCXsaezumtzOl73MYhIJ82hbC3OyaH+6wUORmzh7sf0i
RGUKyaZe+yqjPCZl0m7qJY7Y5FbhCelUU+8nzNObqAz6Fx856qJhzkoWBG3TfYG+tfTJrc4ECQiT
MItDgjufHQlbfUm4qJT6UB9NMRF/iXfJU1dRmA7anrAtOa7SVAvHe40Fb2KyD9Mk3AR2RdN0a+Le
77cc8JHH72AVU8oHB5IOdaru3IzewGWFrhsI2SJ3TDMffimK/q+97K/f9f+1/VFeveQ/2vPK3X/f
jPAvq3BUwP51Ee5/I7IN+5d/eym+/9vipfnaf0cs+p+wVX73n3Vh0HvCEhb8PZPCGxLK/5gYXDgb
OsUwfogiFrUrc8Y/y3HiHwKjKFueXwCOuZr81/wA7YMykWVSiyMc5iSt/Rv4PfPMSnqqC1MlRHrt
oWc61f1e15w4uCKpTJpxlQ25uI9ZqQ8d0wVWpHLSv1qVT36MQ5DyRurzVoyi1IgFcoTyCX5b7E3l
17ecPwP2lpP92fMs3uWxU12xiMENfU3NINsGs62OmkvhfaCAPRcYgYlFxutDLtTBG4GJnYt7r4p3
ms6ufywduYp6Z3yRyjLvU9ehKKLmVPQI4P4nY4jgZiFeSRGPmCs37jejjgZoQTHf3lMdw22lMQ+X
S4xhkIt6RPGPYWSsUzw3V8zd403fWfIJG9DokIBoaTcDePWN4FS7pvXeYGciWuNpCmGMX+P0oh+p
F95462K6uQgwjVExatAwSUDzaBzGtN7iBBjMxavx94dC5lynfDXRn24FDUh0m9wPm5Stt7fC6JlM
MygG4IEcIuK6SCx6pWtL/CfuB1q0uUZ7filQLogHWFbmqvDbS8Vlzgkzx+ZC/alZg43SD0gCtKXJ
fL8QbSC2hOrenr7e35qF/n9HfeLUoeT7ryed5UsW/yybIn4z1/z6rX/uQ9hszMJ6nOhEjpOsxh/8
qw01w4Bs9ig6fnKM6IbNY3u9D4HrzGuEWNY8aVf/uR2hmWDxB1E58vLSlf9bbajzarvugPqk0QCY
fN6UME7fDh36+CVQ5V5dFZKu+iDnOMHSSgQFRSGHW1dzxkOiYPmsKZZ1z11pD4+pDbl+0fpF/fnV
3fvDK3MesjV/GnSc9OvQOtse8sm3n8YuxjnsvB+uzLowrkJis8iCESX4CTV0Jb5KaffPYqjYfze5
hyylTuZQoGDCX0VZWBTf/a4DBORHUb8ys8x4nBwwh9sRkcMPDKdoZd7/xCfJ8qtX7/SJXQFwne2k
0H/T/NuxiHi2Y3dlUeIDT0qA4uMw9282dOapUA94/+nkicCjPuqiyhpT3drmQ4PSl8Sr7nukWupA
sUZJkApZOSy6POL0JBo0juuwTKKbtPcPeeujeELPi14tqk/QPzXXVdzLGL1Tvn3/W53NJ3wpQEKs
PjjaZqPG6Uu/msUBDYTkxWAOJ6rO/1SGbIqpdZkMjarAPyFV499XgZE9vX/ZsxmT0CSQuJAB4dPp
8z/mj/XqsmwxQ7tqQxJhPLLyMPL1VwWlp9gLok/vX4nV+vWEeboSoWhUROnzslE9G2fEW48TQrHy
yqt09KkS/dE26OAqLtIqWut1j3DJ0kevXCaWI/OPBs3ZGs/lGSgoom3OLPQEzy9PuzqO8ErEV2LW
oOdJD04Sv3G2daYcQgvG48Wo8+i3Mqth7tZpKX50md/upT/aF8q1GsroMinTOYo3B/9SmXC1vXH8
UZEAsSLuMBdLxy9tXCGWO/UfrGzG7w8KrjzTBtBhfMvCPuuL6W4Pf8EJtEujD+DeNx25T4aWdjAN
rXEswoNEkfQ19PzqQk01FYSSlZYTxSB+dmKi3zRGoaCSnQw/YrgJ3wfiVcXh/UdsO789ZJr+DCKa
eMytvJ3W2+HkNh4CS1T9lwkhMQhIVx1iwK3qlOVvOqzcy0bV+u2Qj7SeYHCJJbJfQrSaapvZlbmE
IJDfVZmTK1yfMvwsEzKNx7ZDHOjU1SMhtN6K1l6wpLKYUA+AoCpB+rbFlUTZf11r0HfC0MCxp00B
VQhziPIdLKLszkzCm3AscB9nvaivuqB+6DBbWOjbzDmzjhrnqrH7aZqpgMlFFjnec6D39iECEQ13
E+DNUuoRxydmqniveeTXLSQ14JUBOHOFkudb1dbdfa9ryFtkTvMtaOt+D+jVfKgjhNnbQGgIrYBA
krNk6c2AFb3WvgB1whFfteY+BeWzN2o/o3ZUARiprDy9j6lLw4it7fDQBE2/HLkPW4NT7nUtc7W2
ZVNvDEMZwzpjrxIuBxlSIxnMKFjnrUV+XeVfR4EW6ivOlnSQIlhqy0JPkFpBc3tS9N6OZuNX91R6
cOv65KnTEM2nF88tKU3rAJZBZ3iQHJTSX6hFyZ9tWFXOcjI7HSwtGqpwA0iKeBUp5XoMh97bIGWf
44msfEcYIwnJrt2U3Oh8EAsydRMUiYGco9dp36Aky4KlBZsTLYWbUkztR/1WEjK8ituGOn7CSOo2
VidRLylLqAuCHQnrvu1l3eXYcWO0o813AglMc3qmjKRETquvYSovv5ljnnQWiLGu7yv9ikAFNmwH
P64nGiB9F+zzJqbcmZiEOetEyeyT0aLSTYGJ7tBY6/Sbpij3CG3GTQKxI0uBpLipDGnVZYBlryNK
uqLcpaMgEGZUmd9duGj9GFEyQLgnlz1r4Qa6SBJcD7w6brisic1kwGFNzTdk0zU+RFUWr2CtZtqf
9ov8NwZ6YaOB4JSO/r6nmSXRJ+brNmBXAIglzHF0TISTLQvwHHNO+ByzQrMihBxMYzmH2ht7P7V+
gPK60kuz28a213tXzom3VPxFXypUWwNjaqmbNBHY5Ujk66AdCP7zG5iBSLHdfNyh0ssreKEj+3d6
xmO2beIaoxeP1fysVTklO4wPs1SU04JGoroOfqdHsfyZIEE/31uN32XrFGf33cQpwtoks2L+iJ2u
FZyIIjPqtkEzVMU9i7FFvQAp/aav+ARoHrNwWqP/n3xoIWMlL3NvZGhrvCoNuAOjPzQILbJVGFhh
vxIz/nYRn4JXiimxph9ZSirlyuMDYEZCN1/vKVjYuzCm1whHL62tFdCVYDX19FYXmmwq/yYJZGIv
rZhQ+EVeJZN2JNAH8klFhjYf1xfV2hgj+opRbAD7JXUvQu/L/29h+GBiGD64dZeKzLNp0aH5/NIU
I8LiRcx7ZF4ZU0EgJbVwqCsPIwSA/sqtfAQfBQXbS4ThLElhK1J+wc8JbNjQCzSK58nI8EfUNH4Q
LEhngs7Thd3DyejgKAwi+LAZvJu+UAIioIuMlLQzAHyrzKpTwIMyWMdGTKNCSnYWCXT5+9Zx5deq
iazdIGQYEP7pAOIuMHFZGycrqRufIkYnVVn2bds5xoPRzahu6WpIiWkCQVslQj6Jd40yYbwVIiSf
9ZTPVej1PDgT5NxEm7XEG5FajytAr2eHSiQLPhiyCoYBK5j/iTxfRnfOLInunMiOco9cOTBvkqZP
0zsiLnxKyHZCcian6nnzGRHnjmgYU0Mpcy5dlhN4b2Xm9Ez1VMxfviEdVTI/8blmIBmdAr5FXzvc
qigl3XLppwOvTpWFaXxbNIJXvunZFfxKvjTMrohmHS7khIVVIVzdR7KZ6WbEeraLWO9rRV8Er9J6
HGYOD/8bifSvVtncKWOfTNec3F/LP3hDHMNoixw4+moM3RdZWHwM1STjndXRzT2GbHOTI1iSNLn3
WC1Il9Rxafhh/WzrJqCTyI5i80C2od8fg6ikhTZi9KL/IkYL0gm3damLevyWZqlzQwFDL3c1utH0
s3TzsN3lRMb/HCd/nkNO1g/OAd6M2x2R5Vf0AD5reoB8XyKkgPPBNDc2MrojEaU9+nmaOCvHbMxZ
MYzhCfGziQQ9oce9zsyC12RCDO/v7aI06h85E/J4wMnJu0ExgjGSOGRBb9QwDWsWGVmjIuhNF/ZR
1kHQIgKAOIGmTr40FOof0G6MxoG8ksb43rWYyBY51WOom9LkT6nciLD3yBAqdMVjkQiCfXczlcPQ
XapRZPcJrZKFJ9qdnavB2U3S5eGkutFO2ypLYdkVrrIvtE63y3VEp2I4hqOsIriHML8f2IkQPEj+
K3oPEbcDmg0oHPh6Bq9mFRjr+yysjfjJKCfLw4/EDmx8rDoLbGCEaqJZR2hwwoMWVPJrFOpQGbEN
uOk+9nXjFkFPMG2bHovDOoa3MC1gEiXWjQJuAm3HrTLASNVAlxA6j62WpCLKdo2Yh6cmPSJcUSmJ
nLmjbbO1oSzVrIbM9ID+eDWjP4XuKehBYs5YBjiF6s8Se8xDEjWMNVY6nzDYMG9vCr8wmGDNyk82
HqRAuVD9s+n1kpCJNB3EI+GGWHckdjP70obuN9zVQUts4xgyotdVbPE0OTiM6gJlSFpeiKaKrBtT
keG3D1Tp872U0sLLtNHmyMI2YM5gN9Z3l1kW8PkbPw03bTRDXpEy0JGtbd770XXBuNlBJP4PAlL+
K42a/1drtxi4X23ff+vl3LwUBGS9LtiefuGvGooQ/0AvYVJ7Ba1HhXE+L/1VQ/GQ8oIGxFtL4XZW
8v5nydb/B7Vax+ZITNL9XEvgOPlXDYW/h3oSgzC7HJ/KDE2av1OynU+Lr2oAyAQ5uFrzPzgPUVjm
q74+t8K38SH1KJgwQFU2vmMb96YYJTYwF5qqp8wrLR8IMZlGurBBYfp3fuW6lw6hoheWRsCgSd92
iSJsWHNidbZdF9ZMNQpBl9/DKME7Va9CLPlLQc32VzeBgfJnm/RcuT7/9JzfyViii49W+lTSfXXq
NgBu0oL2LcibrneTR0F89H1aQ0vcWARCFs5zmbT6YhwTqi4iZeVHl1SzDmENXZR27BD4GRWbQY83
nDxsghL7dMF+OD0QN4K92O2/YLm8gzJaPwndRp4cF/6XIBMcAxJmlRVpVuDReYW3MxH+GPn6uAqm
rsPbCfmdpa+80gcSrsoSyElCkPAGUpW5qVWZHJs8V7tXI+8PRajf7wf+K3329ApKb975/XAaHdMV
e7W11+TqgSBWgDYT+6hj4EcNe3wrfar1ySS+rBm+vn/p82ocI8mlZDxjHQgQFKArz0YSWLLQQxe0
7rGSrCe0AY9dNo2r0ovVpqqCDV6IbCV6eErRMHwC1JceRqP69v7HOCv/8CkYzpzwyUSZi4/W2cEZ
B2GXDrjV13KwDDBwTslBNPtJUf6Tbc7oqAhv4PuXPKsozJeckej442nJzJ3Wt18cmV3Qd7Xo1p6k
Om663lNeN3eYFj+60O9Plwu5JrVVB9E1zNC3FyoqtHDO5HaEH2Qj2jFnKrdB6XSbojZtWE0NQo7G
Mw/JkDgfeNTPgASznJhyLZMBpXq+529y4oAny3G1RwIadOU2r+pq7bkE+3htKDDENg8VZ7uFyloC
XaZPqGyyD+7yn778fKMtLAcOovOzu9xqoQvCvenWpRM86UH5omr3KbFQodYkqsjO2BSF+0ua8C/n
Fybgs+mF10hnzqbfLQQd+bc3PEaeoRd93KEvbZ19PJOu3dSrHv/u+GErzmRumFTYqUvN4+vVJNYr
u23JSSLXGAfiavSRkI0jFGAwcB+FbP7hMXItF+AAhXsKuaefv7qWcKVM69ZpeIz2sa/FY204PzRi
LcijAO80Qb9ku5vtOCatzK79/P43Pa+RM4o8k9RHGoX0APi6ZzeUHG3U6haX52z/vWHLo6vmi4Bx
yKlzZ7BxhnaF+025K5Q997rmw7T3x6UzmRxHFQJ0AtmXyFKx6onn9z/b72/x24929nLhw4tAgvLR
MOUcQK/c+Hb3lUeze/8yf5gmuY6gfmtaTE/Ml2+ftqvlgAzMqVlDM7gXiNhBw33KLGSZBPasWy3Z
RHp06UmE1jjhR0SqnvfBq/T7sOYjMEFj+GdbAmXk7UeIk446U68YBJCo19AI/RUEgfqDbzr3CN/u
LOarsK1AlWIiQpl//mqoUQPOckQKXCURj+EoHrqs+1Sw2jaqXb9/U3+f9D3WfprezFNwlM8nfVjY
vl6Dil1bE0i+KRRPccmBx+wje4v43FnEHtE771/zT1+PVjyTA2VoUu3OnqPfEKWhkrZZ21X/EPqo
gN2o+drZ4jBE1vf3r/Wn13auBtNkQPdD2foMfVKjBTeDsaE/CshilWu1WjoeON1whDQfVYncVl0M
W6jznkoScvS6Mj94mn8ct5QP+LaQdmaJwdvHSe1M0+uOqKrGtS99lvhjXA/JpgumlRr7HyOP5cIw
knil4nLLvvUuHoDafXAfft+t0o4+zf80WViEzlb3FPpWTQxls3ZU+YRU6Q72wOVodA+VUX1ia3fD
2jUtauenHfkLS5UvH1x/np/Ox7SN9Q1LDTILRvXbmzCQcN6HMOjXQzuM62TQLvxUL7fkxkXrzik2
7Yz/TON049a+hm6gI/AuspxopZnauussGKcj7gtbJIug1tIdOC591ZSFvnr/g/4+OElo0UGDsaHH
9GedDU4diGFELJzBwmU/xv2M9/e9LeFbFDoGtMzvX+33qZOlBCQ5gnsIYsY56qmVOHY7GOJr32mH
7ySZUAQvrZ+D9tH29sQbenv/ecm5GNVgrI7Qkd7ef2L2SKSFjro2AABrWfU0IYqEIEFZDPjJIg4k
qULNWGzqvDio0PRXCDPkDsHxqtdTAoiEVS6SCDtFkYovnesNu07aIa3B3Nx1DpsJI4pum4HnY2c4
lByT2kDVjasBxeoS1fk3ju4fNHvOnxWNT2pXfBdebUbV+Wws+yJyq6ie1gR/2IAjcu9WhXRfvckO
VrEsPpqXz2f/X9fDsMTJk4OkPv/81bwc5V0yQMiY1g2782OZ6M5tGwbuByPwfEqer2IbNP8B8JEN
JOY36dVVoJWS66fn09oMpgwgZfQV2/6Xzq4uWrKrCB3OP7jg+avJBRFKmmgBjJlrJM72hwAqIhyr
6bg2cXk9VXVqrqO+fjEb45sBBQTEO+ripLSLD657Ysa9HpPzhdkTW/MmEX2kffZNncTrSND0wMKg
cVxUrEJmaT0EMFjgD7fWwRwqKnfJozf9pAd2TwbJNViUi4AdENF5TyC2ksXgY/7+ey8lH2sWYcx9
YkKTaNW+fQCqCKn68S6s/bql2Ud7ek/h3UfCM1b79y91ghGe3QLP0U8HINqVwOLfXosae99lWqyY
AyFSN1MRLsM5WwxZ5CLklEBwtamv3Ml4cWjBjHhBlpz8NLqoNg7gzFtkMv76/mf6w3BAf4aXiOWC
fdaJgPVq/PW1HXGtlKJp63ablr0IMva2WjtiejGt8SnpsTDBaIo271/3t6Va6AaLJCdBhyl4PjS8
vRfUbJjPVUILr01/Qi2gyg4HmK6Or4p4bc6Y6hO1DAARhYckbcQC5nf3/f2P4dpc5u0jYaOAD8Gw
cLJ4vz2SPsODhG1lWNuZtL47VfCcDvG1xA9C/7T7QYaW+zCwt4FFZfjhXZNU4w5ozyo3/eiWruw+
nV0sPZDenWpQndoiBC5daBj+0LM3uAym8lZoTXRdTZqzT+3J2KMKlutSz4pnJ6+dXWlN+peumsxt
YJf+to96ANNNUW9qkUNIUKQdjhV9lXbIr0pZbOu6wGQ5EoLrysKc+xRfC02IA8ox66XtEAt3ecmH
7G38AcT5Fab5qZYW+LsMt5Enyac13da5grSOinbIyuu8pY0RwdmlqIyShc1oFqxCKdVlltb2VedR
0124euMdlTTSx1SUibOtRGdNH7yMv8/xLIw24R8CnZILwe7toJjqxIPq3wxr6NzOdy+rg0fTIDs3
n/RPTuOrD/bDfxiEPHh2axyxqDD+NidpI1YtpyeGijitBye0H3mGX0tRfelbUF+xhBQztbuaDlc4
ah9UYGYR6tnQ48vO0nXD0Ged6tlskEPi9iI3G7AzAvfujcpc5LFwVri2gm/xYLrx6oTTMUlWuHNl
ID9jskkeoqwRxxDB1M8hGRiIhBocuxzP4kLLYrrJDepz3IvzbJbqIwDA0TeX6LhwIgr+kO60+vZE
3rFbnFnvv06/zyaEBqB50bHzkbjinr3UmTOOfiMlb1MTFktAnvFN48cEjlWKseNGwd4bMGN0piDf
4f1LsxGYR8fbd5l1ZeYt8Al8pJJnNzQygi7Eytitgyihmwx6AaOw4+V7s/TwflYV7o8yTjHtDqES
eyyKTr5wcw0GvJMX35UXx5/DgiQjqeJ4X5AteTMRc00FKQWamVTl+OS5kUWC9fAz65VxlUReeySZ
JLvyaHKC5wkKx6Zb5fm7rqcdtNHisbxRtfMMBOJKF5mxM83SPlZe2awimQMKyl+sAh8ZDvRyTwiV
+ZkcEPFlLP1qWZGqdVnQdtlnQSN2yNLrmy4zxZIdi3+HPbgiVsGkMxrUPR34anYWaH7W7E4wwlIX
ZbkaNGt9IhAWTo+DptONLRHMpAurXizIEa1RhbDMPEV5KR9P/MIUEVizJpQOdE1N2xZ1PfWFdWXR
lF7keVNexG3WXiuNVBrCZ4byGCSSbpCgj/8CLUd7YZ8ND1dazouj6r5ean7Kqm20JoFanVE9I1tI
VlMt1W2a9NkGqtaEh1iLr7MABS9WopLcGy1YaC06fI7gibGKkBO+RGZvSOIuBt0PF54zOeuqwECw
IqOjJnWGavImnbU60ZioS6fSypVD7Ge9gR070ww1jXAwKFjNrnBl+5B3XUOKdajDjxyyatPWeRkv
DDprV0ZsVCS8YCPFYlB88aw6OjpR1G2ykoaXH7ogFHBfLgZXdAlpXGmaYIAr8mf2Mo5JGAVItwia
G3GnkSAjJCTZzSrrAzCQZGfGMPl1ZCs34+iR8DvnfU6GxFVPDMfhhPoTSSzpIZAb6832hlannYxS
hMTYyriMAl3rF+RYR9iLfRdTVutpBwMB0Q/VjbSKQzK8MDpz4gXY1VHm2sbO6GEvM5t62w1Bbe1H
AiGoISFFYiEx5mZYZc2GyQgb5Q4Vir9OyBJf0rPHTObCM/JmAq7txf2VPrrxIUpCbwdgdbrTNTNC
vQc3Pl6EMhsP9IfDW+GyaZmcyr9ILTzGUxLfE8pqXNROVWyh0OqfGsDjx9itHPrpIxb2RjfyNem8
/UE1ab2qC9f/lCb+sFGNJ76AYwekWYD+X9oTUTYqxQQY98XE8lqMl7CK1NI0NUI09Nw3D1CGCIOb
BLIJr19NytV4yYz4DjJhdbDBo30ah8Ffn7jJ6FgIApmAB14CYgo25ZAtq2EU3BF4aV0R1iiPTPsy
cMc1ADp5KFNDXJVl4y1V6MGB87sYaTnNxkVTlR4gesvRUPPL+spxkwZvSfDciwbdl1dlK40zxbZr
TLH3uxSqqBdru8np4hWyHfFAzKZYqzDwn9CTqjsVmdM3Wqgw6EMJi5FJ8y6lvnzZ6xV4vCz1rpBn
uJdCBMNl00OIMVkFvvmFxqML8uSpclJze3qmsk3ddabILApiVXKO60Y4uQCrFJClNCXhuOHoN8Y0
tQNb0q2KLZx+Bh2Cu5Ek8B22CFCEsV4fvSocrzWIjL7VqhvsReqOdJ74GKik3AwU9jemCMa1ZkLz
z2B6LZXueMea0/AhzZMX6ZLdTTYWmixd66xd5jq3bg78za6A0wIYS4gyDPObIkxhaVFrRCZr4qG6
7miAX8pfNGijZLOYpIgfF66Rxjl0J+uSQICBYI1MPhYaoin0GfexhI59CgLkEg110wEyZ4I2F4pg
gz3wtAqSw0m7a4DlwYEkNmEFBqy1z5ngdwmVrJ7JA0iOrRWRTamKYtnN5ixLkOANDQxzVgEzdBE3
qR4uUR/ET78SCkmfK66wPu+aLhgOddbuq8gLrwffazbYz+sDFpTqKk4z71ZLin5VkPR913ve9GVq
2vizO9rjbeFH94QRaj/cSdjMPbGzpIYGynjUYTAkA8kM0BRuRNBGxl4LjX7E1Y7rvq/aBPMybltx
TSxXY+ymofDuKKZUhylPzY07evwyfTrxCJZMxWul+9JcFX04qF1RNOFtTDSoT6So36+4w9LhiGgU
xooqbUJgolVpC1kTWL3t3VBsolSFdANp7yp4iAMu9cmoNgC1CtKq3KFeerVbLnGcPWZw1pZR07jX
JXq1H4mhqc8g4TQu3Q5yMxgq+GxpdoT8RCujjWyH8imhOi6WLuZV9BOowTYoA0Beyqjzj53Qv099
OZNYuk2XOtPCGuoaWXvgXLaJSj77epFt40AgP0S4gIZIi+UNxfHhi0i19CXVMZyVlQo3eWE5UCSU
NLuNCXeUaNBGm541ewA0ZqcdGaP8ebSdQMWI7chQ6ZKPRH8UYllhpUuYOwWZjUjnHl1ljTdodKmK
hFItCxt7OGCNyiJsJKmxsRf9cXDpyaTVFg2vXCuOJy/SN7urwbHUI2G81bRRhhZdBaVt/dD1+Gsl
BnEddk7zHck2+8Q+G5xHBQEBIb+NNKkyFLuatPLE4zSZdA9LR7+qqgQbTNKbFB479cA5SIC2SLMj
S2pGoAcAhGHAONMVbc5klsP+C+/1dDhy3mmXltIMsBrhMWuSW9chvcIfav/iRGocQt3aU3VE0eMG
HHC26LRocxMyAyVeFXejnplb3ZDdKqID+QVNZx5/Eu30PMZ2pBPjGhQhR5x5c2EPPKCWrAAKSv6B
BJ8DyAN7l2P748jBmWfbTM5NJjVcAoTmcoCJzJpVDkM3U7BNBBwiQYIl53sC9kCezA2nXZAPa3ML
fdzZl0ObTgsV5zj5VHzw+IyXbFfaGybSbCE68Sl35n1Mk/lHzJwEdSfDrSSye8PSnRxVNx31Pg9X
gHBATrCbdnIdmVnPllrLBmMzRNmul13OBKqVaJMc5Iim+FwQoyMjelO9JgwWZPNnwJjaOU4BmljP
nbVXiXWu9e6mwvgIirDwZhjMk5v02i5r0aoqWXFBJ40+cYfSr3lNwFha6GKTeiJErVWzu/b8feoM
au3lZnvdoYXf93PRqKlh7rluHoOBDpmBiDr9pOtZdywFr0qZl2tcmdXCkHq56lt4nnBeBHJLL93r
lrWt+2RYWq0s11W5iys1rkgjfeBlzpZpOF2lGNiWvl6l63a0bjoXlkyKdu3WCwxc6Y5CvabwlG66
OCquU9yvmOgrBKgNyp2r0WAGdWgY3jZJRPyba+jEdybXrG29mu8MO9iR/UaORXUtXb9dx8LNlz4T
Ha63nl4qxv+LBF3ZnbRwqHtG/g2d6njMMgpYK3fOelXzD/SmS8KlDUxgQQi1sY40EoaiuCV6VqXN
ziohPYihVodIKod6WNg/8neOA2/XYaDbNlftje4lzF9Gcuw2epf+O3tnshy3tWbrV7lR44sTADba
QU2QyJbJZN9IEwRFSuiBvdEDT18fJNthy+Xy9R1WnMHx4Mg0KSawm/Wv9a0xrHlqT30OUT6DKrRX
VmFxTo6ys9nbDiuW5DOM6V+jQ+ky2QRcNItnE0xIoPVmdYhaKEcJsZogMn2LLx/fhaPB44TCdEnA
gYQ2h8GjPpKH06JanYsqnu8HnJRHrE/6bdxHaj+YOpecusePGBr6OJUhA9OJ5dOYz+5ilvCnrPnJ
GSFEZX6d3VuZg61DlVa7cQezzgLgK/Y15du5CJLStYAhaTz1Cxe3AE6ZumJGQn+VP8+C6q7U4uXp
FwOynFHp+c5PhmQbizbOaSXy4X5q+F6dzFmtV6Ai+O/E0cA5XXUO3W6J4NGBEv85c4v4gepweewy
EFq7OBq9OESyGO5ayT13k+nLeIEhMF6G2px20HDgPMU4k/1N3SzlY19k2rmgBoDtfnE4ANSGhmaE
hom/JuwtyqIjSkTPOpG/+1Zm9ts0lN+0TNnWDiULk+qkN6GZYrwuUEFkiytllsV+JHVwRorSAEaK
bGfkVXafFg7NucrwPwEsqF7KQesCZsLpvl73fKrsOL7QPYG7vplZeDu39sLB5CRosQsetVbGN7pT
dRyxl/TQ0uSMkmvL7VRo6kL4cVMNtg9HQodZ0treHkgVVRfMguZumbflrOTO8DWPRi5I1tsxFe5h
SOJu68yFfJ95vMgqu/Yu8jR3Z3NqZLbfzdTFqWjWbm38l3vuCPL83UzTWQ2xSgrdhsCgU/mtnmoa
rxrPOEVZJ5mMJd5GonMTj+i8XbtU+NNTnEqqcEOMvxzqxJSEVJeNb3oeN7vC5MOpR+ek/PnCaM94
XqT24VZZ/AzdNP0yQIPaLX1cvvdaib1Dx/u6sbrqfiz6+NTadXKetYG1nThdCJ5CBLY1rgb2yjce
qIdPp41caafa+iO1DsrLUJw93JnUPYkGt7M/RJtGG9R58Mz9KDjTdZ3UDora1S2YuP6ko17vJ9uP
TsYiMDdrnQyNKtLD2JO8rA0TJzOuxquexSqYJPjQVGv9awT6xdwkS4NPBNGVrhV/IqmlpS7zkDrq
2F8VDmhzXpwkcGpjHIMcg/c2HzGoI4lcAw/xAuzhJ8MZu/0iGo63sej5LYraOo5T3wSxmJ2gTsXw
Ypk52C+pKXMTAeoP8WHbWxS26korffa7xgwHAvK2lZw03agJ1yYcGDFHMr7B+w2hw2s43VWCi0D2
GI9rZJ+YelghSaBAzA9xmzqneYibMKXgdV415P641mXs8AKnG9KzeKwgvR/8oi7bQNcXCWfcr/co
AyABObtvs2zMI7BMLjX1CPbsUVlruOcm7y7QoAnzcu0afDG8x0zqIWZHn3yznS64+BGjMOzdUiJW
bVBGrKB2CmdDv+LZhzUQOl077mjbpsRNo6N9aUDAWNor/uRjC5KsMgDfjNZ6iRtrM6Q13NlOy8ox
sQZ/33TyaPX0hI2RWh6Hii+m2Q325YpBi410m+kMr7irbFqa/MJ6jBUyyLzwxvrZlhCStqv1ZYe+
jzGcUUWQZKncqykfz16G4ger2qaoHTxbEc2P1FpWoe7mZCM1x70mR2FvoLOdRZWnkLB5FOzEmLfe
rDM6SafrKutAD8TFfQSFJbBTaCeT7DjvTnuqGp74EN66OHvmF/U82/lhtJr9PMHL6kt1rdiRIfU2
sVQhgIc2wjEnfI4oy+yTkXZB5XuWNt2Kgk5PgxpBsSxZ4LJSjoGyCEGC4i3mW29ppjsrVRORnqHS
7i1s4IGKM/PicaP/moKDp8G9elmYUdZk/oiNtDHiid9q0xbXPLzrNOr32eRb77xPfpCtyz6ZRvPK
sQW8dYlYBGfI3FeV3+Hbc24pKFZBYwziZTAEKHzTInldyouNqQ9EdPOSlmYauv6c4/cylitqzApQ
EoN/SIlmbFJfcDPzB6zhiRg3NKhzn0+F/9lsl6eijblKcmtnF80QWubsA3Ei3yg/fYLU22PGTIYN
9LKPPsp2rHY8chaXa+RN89Y2B3ObZr5+DQHHuxNrJoV8AzW8ss8OeOPKS6wZx5xbMjjvIoICPvbY
or0ifY7muWb7zoFQJJ15TblicdFVg19SgcUfxasXE4ASFWeHCKLItTM1RGzE6BwcO7NeXWOaDgaM
44FB+WXgaIC7r5u++MQu7wk7MDVwuLpEi7Gc0LiZHzgCtcyeXLlz8Gwf6JkpL5rKousuKfwvbt0Q
pCA+6uu4xDXUtAJDQbOJVaWxUyS6kz51iDxgtL0pMt/txWWDKgyHHkwuyOIy6BYH4pgEq9T75M1F
E7lSvBN37hqPiUdVXVW6mL3QW9z2q+/MZPi7JGMsMdMXV2VzfOO6crzY7MkfE7GqB9mI/Fsky/k8
FbH81JYivyebOxiBq6NouYqB/Tzaxr6L3J6BP/x+OkBx5ccJD08d26FolMeraDavsdnOjwaIz/1E
UOKpXaz6jk+30wHwpMmBala1jzM9w/0dF1tG9fIK7llUbLnvTAFHH+cqoliD+3lnbXp7GpuNSOol
NPnW1101pUzQmv6YqalAd8ywbrWgn+bGybAFDt3Fzx3aRYY5uaURuHwgzgGIhZJBalxygHtbldG3
lwfcjyh+Maop2oEFQmjPjYYMxwJcgNoJVKWhnPiYeo4M2ZXZsbyYnlt88ckbkZ0YZRZMZMsflZPY
GyXIOVHFYD1X0NBfNI42LgXW5GJUbQaIcxB+lVqhVhPbRLloPogBVzynrUBGc6f4gTX+HkVvo1tc
iRn5czR5yFEfOajB4XYUCbYmw3DsHeOUDczzmsA1Eh3YFY9J7xefuxLxoa0nlyGE9k3kuMr0RKJw
lyJYlt7aImsfEoYNG+piq1DzwCricdz5Ku+e4cUTNBD9O6TyNmiKsaXJ0ek3ILfvZa1QBCMNYYBe
whNBcxm4sw3709DqfeL69XaZAFlSxtwdE1Ts0GaT/apHbNGdXZo7a7HtrwSr/Y3dTzQfcNBzBihZ
2egPV1TXyvNqAD2i12vg3igsb5a1F8AavkfYqmKT8HUnobBY8KuzEbJE3RKXdGhMzsvhWsYsFKYe
GY/5CtnRe+GQrLEram6rmItR6xHQcVpdI1qmHB6mybtTyFrn7xfuOalGgBWVcRaCbIzVgvICipEc
vIwK73kYvau0dU408hVJIMzd7K0xIoW3fW/WZv9gWEa5H6x5gBHHqTDAAJ3txVD4B2vsp60pYGPR
0OO+VVmavzZG1z6jq0EgG9M5zsLMTOqrcpjaj4gpwVXFlOs4acjEMGiLs1oceetDs9mDsgL+VmWh
qOa/y1f/iWKy+iIEwXG4AtSl4TP647BuZBiVJ7qptoZFfg2eFvud4T9VOZp0IW8q6LQPNj/VEzOX
r2xPHFpM8B5Y9URBq8p6nCY86uxdxVW/0Isng7jzqa2XOMjTKkFfs/3nvxkS/Xnca7POYyQRDgNf
Bt5//JktFCbqpnPcm3VmwbQEhJdMghC2JWkYsjBqteuKY/b1RyJ4kVqGBldZ2VrX0qvaYDExfXI4
+qUR8y8NtH+em9kUTfEpgWbipzJ+mnsKvVLx4sZqC81j1+I0YR51B9SO7UglVkgfEGxIOJh/Z0ha
J2J/nJhRMC3ISKxTSAARP3kyXHvhie5StV1qozj5tJIC0JuGLCQV8ygz8YY9/WnGT7zxmmzgisBB
3WZgEHTKq26LRZKz5KKF9JBfM4j0LmNq1UdXzSJcVtZauZg19ll9HVLR6LzPobARYE6+NZhvAxRt
l5OaZBnQY/M9atQlquBGGtLYVsno78sF257NeP7sL1X5rs2kBtwiN08OGTH2haXm2u04j8gxyVEf
luFTkxtL2ESQjrWsFSF+ooLTTPnJI3pANXJmOO8L707Aq0fX0hLPX//mAfvZeeeC/1gT86B7HefP
zl2ClThGR+yiEqpGODbz3qdK8oISn++L2kENUo6bPPb0D7Hc5B+p4ZDzz+wx/5t56J+edIwVpumb
mHwY4bg/N+MN/IlMe73edrNw7pwo9phViPH2+9/3HxFi/hdnnd4+yrQi+N016Xv3h+iS5a5rx19j
Y44fb0n933zFb8gYg1ATCWzwRrj0MMb+FnciXfgv1icDr9RqhMA18CswBtodSScMY45nY1VaP9Jf
wk4WVCsfsAoLG6cHICXin4SdAM38cV1gYdcFTmSswgTfWZV+muPnBiNlMLvOxU4s7RhH1aSuKpeC
8i2kFSyscUD0NRd4B7HqFQ9LKm3/CwGkr5y47AfLzYW9MXB3YbeaXnLOoVckuyYgpua6q8rKWUvS
l9avQ8QjOHFasTLjEiwn6om1EDcoyepClFe5n7b7YSiy7OKaiQ/dWhXeLm2T6lhSYLZxM47M5Wxw
8S0LC+aAZ++ISZvmNvP7u1wS6wwyfYwQjiSWup5gOnMLdaJ5Z/zAvP/Zojvsw/Jb/VMx1u6ed0Z+
pjNH31h26Rwd0b5xgjL4+3qMlQPXpFt7mRmb6RJPFh+UdqkyDaqr6w4Y0j2jQZzwzXhocD/0Rjns
7LaAyWwyi7rRWD9fBmKMVo/ry0gnuWnTBHNuW9X3YCarEPHkpbBT/2mi6vtmYvhP1tZ/mSbP2Q76
vInEUN5ZmUYtUt+A62cef+wZoG/0LE3P5QBK3HaS9NrXije/w+rN7xovl3TyK0WdGCuQNnxpcxdy
WGSLHT2VlNsDBWBE6xlfBckLpjVtUx98M/3a9xgB/DGdXm3DQ9qPU5qiFDSBjSoL77Np9vR3uVnC
76Z+KdPyRWl86wpeLmfIcfgUdZq9FaKqt1aewiqRLk067lgxpivKwTYCOjnLB3eBXB9E66lzfSKf
1NA6O88ghR5Qwor110RnZ5zudvz0gxtW2jCIvT4IZw7RDcc+cHIjvreotGei3i430cgBN1ks2OfC
hAyQ6pPNd4GtSiTK2pMJaqiu00T6MDptcbZLOZ+T2RHXLKbZDo/KeDsyfNhVbTu9d55VVAFOyo7m
NE1+8ymp6pl0W8a+dLPx3CxRekDnbc9d5EE/m5wx/khw7GwKKe1DYjBBpgVAut+nrWx2jKxIiQNL
cxp/KYKmMvWKLWHwg9hr+2fBlY7LvJjNXS5yNTM+pfzcjJOBKYNpb3Kt1LKgxn12xUF3yoJOWnS7
Dapudv5IQFbxQ7nKkad2mdunuIEdE0C6T77V7JZbz+OE6aa5c25s7cPB+ox2knCrBtPgwFPWINFM
C6MgIYXcuZnuv6TDnAcDliMZVektcIpkV8S2/mVwjGJnsn2957SNn5apHEDyDokDYZkqI46s4yt0
GnGr5ZGLguJFux68U7yp8hE77ahZ3cbzovrkAbiQIYHxZDv35nJL3pO7gQJs4DhTFYJyMY+tmTf3
BQnRvVeM/bOd2PVdyhlxpu8uh9/sx+mVJsUc2KUPoB50OdTLmoNgYILUoXV+VEi1WNGNZcjAwzCh
TkdveRomsNHDqIxdQqopTHziYk1nRdeJVzW3DpFMI/IaBvOac89F59DQL3Uz9kwxuTKd7J7XGoy1
OR2R+8eDNzr1bVZiYTdGo50CT3rzQ96CFC7bwXw0TTLnQO5VqBHRCvqxGY/eTFnVERa5+zBlXPL8
ep28Sf26dLWtXtXjXWyp5jxTibdh8dQvbc/HXa/XFNhCgkVB+WEMCPS4KOMDNIxzkZaqjqYxmMey
7Z0gNdbpXiXNfP2QUSpBpUSpfNRcOQMd4abxsPjJ/BVONJdRIKKHOSutOxd/IclpI4HWLUwuRamd
M/KaJMoUC7luLt1VmvTTU1Xo1k5JrKy4xJ1rfao06plYiPw4GcMo9z0gv3pyAKYBzRrvz7axupka
A2gQn9gElwMBRWrmM0UQYEyATjtW/y2LtBqEQlrft8oxNtIqvxfOcdEu460yClJXRPD33tBqzUZG
KvlkLnF3xsVw33ICOyU+JifBuOnKLOLudqkQssfJW251I/Vv2qRBEut6YIJW7DT70sLtZHLDCwH+
DGEPU/wr8B5siO70Tufe2ktI0R2w5jHZNI6tnRklqaCW9vgChjndWIZc7h1mA2EnaudT7yW8G8KR
+Dq84mikOcJg0mssWDFpWTu1PucFE1XPVekF7afaL3ptvI1lTDyxW56iniXdHGfzYA+OLAMa0IC7
p5ydpb54x9Iv7hfdOHJ60EHP4Lje4vTjA66AV4ZuyvCS3tIXbbLLTdYj7s5OldxmRQuxXVPx+KzH
jjr5Qrmn2EuYWPE4+gfWTY2Bg35uIdPcc/m/xfrbUTmnF1c9v7CNzbP3mM1meYpwSvFK0ArmG9XZ
WSg19D3tPp99HrWxqb1AiIjJW4VNiJBav4s9iCyt6MuN7kVnJt/5vnZa9Ggdwn616CnBKlDNvFDJ
rseHtY+7PgvMqVDbyYvKM3kzlm8skG9Jqsu9xqzkahla991wi+JL00rtYrfNXStK+2HxrCd9ttpL
TpHseRwFTr9OW/YexXpbZbtoS2XSn2ynfMuWDPEhc+OdyknjDP1MydtSuE4ATqA9pWZEPR9lrfcA
y+rbRdnMHtm5BiBBd0YszU900Y1nn12ZSz72khcjxdBTLIN9Luk/OJlMDQHtrY2qAOsc63nSRivQ
vbLYppVgoM1s49H3YrnvO0/dSK8zaGGRYqer6CuyE0tgnCQUafoSw0NbMEoCDp9Y1niFtyd+Hfy1
vBKXRCiXAp+CYy/fbFU8JiVGFZM82UMe8SN0Rt5t+Plm3C/iemBVRQY3PkctFT9lbSU3WBvPjNjn
68mZzjNFjk90c1YnlQlra2nNsAdA5+/SKY8+Nz0ZbkhfzedJq4D9+mgn9WAOR3fM+l3htJ9Hg3XF
x7O2i5kn5laMUIncqAELDZtZwN7A233y/ZmgeUzHTHeFvGQBn6vL4WJhsdsknl5vEuyST1QqVg8c
qvKrSnls9bYRudhycy+7qevO2PtuLC9FbMFWFnLvMeC7HgXRBTRZbZ9kFv3HXFnPblax7JhZf4ij
LAXYN2bOLWa06ZhYhbGbvB4cRJbZCMfj59Zgra3dxpZ70DXLjRzdDPNHY5zqpal2tjdOb5SaeDRB
q4VDCn5SmzpKZNjAgSwR2vUyvVd5Ij879OjpHHPfypjuT36Qb7Qi4EcsKx88WqU1oMZ0b1NmuXYA
qw8hCFYc5RdcsCvwwma+IbXjkNBm8L/RrPgD86IZWrjH2dKcBrnF16d73Ic3nHs3XaoXOyJGyw4R
jR10jMCasA5ASee0icCtHyImpd88wsMQUYsBYWusw9rp4i1lt02wqsnbtsjv8P4zGW4xD19FUatv
VGVSu8FH/RnGVHww0VC2boXNiPFsm5+aFpE7TrQ2VMz4rEBRqPeqEp26AaN3CRUu+p0r2ZCCEe3q
gi3EeJ+kW9ws08SCMJiQ8yNsSTgei8p4QLzusyiMBi+p31OEVJSCsir88tGdkjy3ThEA+Pyqmzy/
fhzngd8aiMVJ0+bArzgpB1njMPiLkb7dYVONK0vGT3NIJfD4cOAx9sRQN09fsQMnH6PPT8gZwX7l
a+rPQBEJXhBFOdL5OTWBMXhTiHyRnvoBi6CS/Nt169SfBG+eyOdmx3fUrmnqVWEfz+Y+dW1ZA8Ke
qo8m0o3rOp28Izd0ptMjl7mLS55gSaAsqsZ2PizatiN04UVeRTY2dHvxG6DZSgSZU1LPVcryDiU9
CR1BRWlQJ2N/sAp8jqwGhK2QicPa4ghjjm0ZxHGaH5ymsLZuYZtXetVap0ZH6E1tqEEIkVNoOzPC
rqvx/fRc1k9TOlgvrZHbU9Cmks7S1tBgEeoFdB9+c/grPHuTFt38CU/lDXUo/FoZo00P0+jH4ZDF
abTKMPr1LGMTukXbho1gmB8w1WaCHsUS7ze7MMkdrMBHxoeckTEplqepzBhbegW4UY6e3Jna4ULD
cfxQ4rjfeesvO4IBvtf8jtuXTSXvRcNW0ARM6oet00swLlmrHqKo1DuYWvyr/eITsGib6r6LfWat
ylDPTdIYr4b01Cvjhue1Q+dsmXJkcF/p2kGYRPWDCiNL0A/6lQsx/WEA1lmFEfY197pn6HpXJerN
XZoiD+QyYcbUEh0Y2qiz7adLbFF4VETOTQ5p4CXTJfmlbIz2HuDkeDP3BgZMmrGe8qYfPwaNdixp
WvFVW8Yy5CeqdlmT8RJODZ4gCsKpfeHqwVlHpcpEhLPHLwunPk78q6moqaf5Vrkrx4amyvS+iX1O
YmppFMpWb24xAhtbUOf+cSQSf0yYDp6ZjaXHkkTipaA8Bx40PR40qn4pvHp5ShjQ2ngoqX8OxMyi
oVM+/JKzVJg8+Zh66AddbrSZMUrRy2jfmUNxD9PQC8XCc0V5RodLgqaKyCRqLjn5YhL1a2ZFEbB1
rmU198/1IGvYDX0PHK5TBhPrChZv/VmNbsJjl5Xqte5Gr7wxcjQ7orsOlzFlsAsEKPrYEygfafUR
n4CzfGhzpY+3uCOyg5NgrEsrZrsvzHfk9LiMWsb+qmG1cDrMXS1xn23fu6YrA18003jFr6TxvF0d
q8TB3mTgoQn+L0T8NrE6bbqAXdxHmquo5S6nv5Oef9J46e0m+oU66HIqQ92x1+zL75JWUk004wgK
kWKttUPNp6veMDHcTCV0R5Jn8WezFPshM0/MmHea1eyYLG8Zvl/Lftm2dbflr7r3lyzMMUf9Tpu6
/aH4/h+k09uaspP2P//jpyjKj58NqrRBIgWWprmKib/72UpjYFQXmSOewebiSs6K0SEd/gYc/t99
E8Oy0CJ1KCDuz78AO+smLr3DeElNPVj/52jFrnLr3b8lScD3HV4D+fU//+MvJUn3e8/EXyuSgELr
5u3jD6Lkj6/5VZPUacYgBoiSKByy0L9DMJG4/ZduOxwgDcujrWWNqf6qSiJkGsiOUG0IEeIA5mP/
RZUUKzXfMH0GRL92sP4DBJO1io6/G1boHEw8YkXATfh2lv9zgFQvE6njNtWuPGiqGYcLkP1z/9oM
kECaU6aXbqoC7psee4Hb0jFsnwUAOsJdJS2yLselmsxMfAJ+6eXiutJMlFn6gKne1jPJyL9Ba+zp
vZuife6lNooaDt61OWPh/436A34TvteTbqMYMKSK+5IN4mwMpT3TxT56LiF2j9S4NhBcLU/CtYhj
5VSqpWs0KBr0T2bVRN2GI1cj54dMLZQObT0rHt07L5n6xL9JMfaNnQ8FLaDaXisZflZ4B4u+WTjf
AG2O8k1s1wrj77/fmv+Xt4bPWPDE/vVrc/k6vP3UM/HjS359a9amGWxCAlDICnhf+R2/wd95hH99
TXi3dDopXAf+OhL/OuL79TWx+SOciTq9MSYjI5LT/+A14d376T1xgJTxbUxfwBo1/7TOJp1F+KCR
4hrDrPs84288zsLQmsBeMJrNSalUOMn6xAutjACEIkiyJQb853jFvjdbdbYhEZuvdrLkl5qyheRK
TYOwNiZ7mB32mEufxWANr11eNmEXzwv9iLM5bWgiGNZsSdZRcZlUxAPG2bjvRVt/qoZouFka4MIb
T8NiQyFa40KgiJpxl5YWMm9DbVvf5AOWXDl3e8fnRwxkkk088HFtZaE2i+nWmmfX2SWTN8YH3zKW
Ppzoo/pCjqydg2LO8w/lauqGynmMRyPE4psoqiFXqzji785xGjEzm7gNHOu5sZbdYiBp7dvZ5E9F
a0vz1NPndasSW83HWKtoaC7LGW+oxw/IxJBWjTKoVVmKO6rf6jvfyuL7JcuHG1WsUFZsSCE1Nmjk
UVsP+2wkuIdcQy9PZjHYRg3pptvG63NuIlYzdfJa5OZThzGIO0A4/qibiQw77fdlZMbC3Xt2Bb3Q
bVKdipopK5sKr/XaYyN+dNp0M2021o+jDDBNzjWZY3kVYfLUK7RiesFda7XifshJQzYs/Kx0dhoN
04WsxsoBXvV/P5B1jHtJIlnizP9BDra/Y4QjkPo7MnkGNjG7/c4aVv3gdmesEUMSxj+IxHo7GtEV
0xGCw8rCeMeD4y6HZcrsZadNGAkxSzojxuqu+85GNn5BJTctyQ+cAfnIHcZ4jX9wlaf0O2W5+8Fc
tn8QmP+94P1uwXv/q55r538cW4Y1A8+fWq7Xr/hlsaM9ByerjkvBcLg0EvH9bbHjj4DprYUV6zIn
CA/9tvYZ9r8ccrmezwAJBiETxd/WPv6ILhPyqt9LrnWLTO8/WPv+xDlk6s5RBTgIk1PQAj/DzzDD
Z0mXorCbXYkLmXLTzVRYphZEvAmYXntBT6grE6BHFk+Yz8gREhuqkhOivHBNGDvd+4oD/GQNM2WK
hS9v8XqZ+76luBJAsll9M2sNELmfS/yVmPUaLzTpIsXx5bYkGomUb4hHWucGveqcecP8ImssP9sE
Z9Kzw4XwqVLYE3qIwCdfpUgsLHSYJ/Ehr94A095OyUJFYKf6/4+D8f+SNpe/fLr/5y6XPebar+Vb
8fb7wfz6Jb883p5HITvcHG5o4HOc76TRX/Zy3/wX3S7AjDz+6XHc5Yr0y9bOvB5AmA6TDpcnXs6V
xvPL1m6If62URYiANogJWHL/qFfuR4L9d0dgA7ogGzvUSMiVFoG19Yr1u3taPtJARmVsvkf0SbeV
NFRQ210e0mN7q6deue0MNH9qzL55mVE96m6jUYOg3U2Re8iymfgDMOmdBfQkqHpzPkaoyEcTc54L
5Bcvao4TqlKIPHM80jxgiC/mwgyOYzMKyTx+rnGjBfHao0ye/OylVhoQXCWXKPQ7JievVYl86SPT
G5I+3zgf4m9EioatmueEgYb6ZhtLQXsctulOOJvFZRAwyOIBkcDerdQYBAEE5m3jtXUACMOsglaA
zgrIN8tD1fbxrhv1x9gg4ChSV4QFuuZL5ys0IGTgKt2TVkOYc438fe5kd56NWWBWBHFsDtN8JzMZ
ExIEc3KIUtFi7SwtByN5TcIlpapDGsQzqg6sXFvtrFSeBuWme+EhxmRRs3E0lcTU7sn2qrcJBmDb
U5gZRWN/Vsxswkbv9OvMaC4yM56wFmY0xuXOfqm0+JtvI6QHEi9QHSfxpp+lRfwlM+mjZAky6jZj
h8zB91mVdgA+KIM8Hl/jMr222oagc2nZT3M5P2GxMw9q1ON1olQe28oz36gvKuJQzR0lBiSJPhdj
V28qYzHxS+RDe7Kn4pM+OvOH7ar2nFpwk1vDmV9rpbVfzFq96ctMr0dOuR85FzyTzE2badjny0wi
C2DvuARjObqbbGrSI/0T/o1fJCJQ3EROdHJpUBQqRcGFhgrktKDnmd620ixeYTOVRy83esRCkChe
OzofMeefoGoczE9NT161U0Nv3iVOJbRrdnxqabsJl/nY5VNJcSzRQmhPSX5irIJEP0zQLTdTwwgQ
7C/NHBPK+2GoQWC/IMrn2aGfzeqehZ1mbnPq0OdGlypsLoDUatji3Ff9PQSJaWsPTKyryqUYe0Fl
0hvvhRPKxfcm0idi3pSyeDFXibyc5XMb+S1uZcoClWU90O+eM7ZICMsYbBzEN9o5Wo2veGReJNcF
9TpoRX1tK+EdumbotjYR1xfGP+kuNVL3HbZhJkM6ZpcHSkaiU5nyAcaxM7/o0djuJgo9HrKxq85l
aUePel36hITcqqXPhDi1ueJaezaXnWsr8z6nVuZmIoT+KmZe2aKv9bOr00ewTfs5q2/MedR4HkqR
7qrR017qkqbJviJgxfxXdbz72TCSacFasKfovgY10d41zfRN5866mcfa2Lid7waO14OoAmcSLqno
TynF1lgCS7gN0WuuT6FGaO6gjTeqdjmX21Z+dBonPSBofsUTN23wn0EcG/RdmVn+qun3+FJxCFcC
l69FvP/RKKgGj7JN6zbmFk7urs9i7T5K44uZ4XXFhvG1Sxq561PfSOjctlY7+RX08kR7Yg7jJem5
ibWCViOJ58Set/HYLtm8pToKV82OhigTz1E7yv4ZdN/VEjniXTTcGjoSDK92XRFlQAs8KS5GXcPc
mDDnpo8R3P3Omai7X4qDUlZ5kEtjFkw5HfeOgdJ713GiIDAB1jaS+yrBB15wO0EATwbKnCJxIYfh
qHaGQu+4EJ9YH6976MZBQWfB2UfS/ZRBwbsRSAzXGBbja+b8TD9NUUW7pNGcS9m3nYJ7SVVCvZxp
e8Bx4l4xucJ0MlVfzFkccRrCCmirigh4T4BiSml2bx6muDDC1tfv7IXTBoIsw9aO7iObpDQp6Wmn
5So/1eqTmpJNKhhvxlgyr6pZebdEItJtn8jhxs9KHASlyJ4R0fEVFcwXAp3JeyCNDJc0OA0ikrhw
glqf3CmIXLfc0wFTp1u8EeHSLO+w/O8mCZ4+0MU4HGUpCZ2nCQQ8195qBWYFCkTmu3XN3HCtvV4s
dziQh7zi8wJU4ZAq5fA6BbZSzBampH506Ld3U8e44apTHapJ/y/2zmy5bSRb10+ECMzDLUVSk2VL
VlmurhuE7a7CPCSQSCTw9PtLEt27RJ0tdd+fK4VlScSQuXIN/6D/6QYVY7BxDEFAI+yvZfE8+mij
RsPS/eaFaX3VwdWF8gb9DEuD+QD5ILsBrp8dWL89QAfcD3ettJ/rweq+qlEzQNHid9uKYU6LMjqg
8PRP4tRRi866Eqid/OxgLu2iifTwqsrF+iyd5CXIugip3fxIdlDtkRj5nvWgRTo/yPZeKA2yZxke
M1ezHrWWoDuYAAzpJ6xOlz9g8BYYS2cM0qlbj+E6Azeq232nsS5x5vqQN8n8RTpwtt3qm1+r7FqA
mGN4gEsEEkoQ+Tgrf4tk9i0FP8JrBmDfVdEztdbvq5qrZzWWArPtWX2CSt7cmBY4mJaJ8budtnty
ENRkfdgtQ3ntgLb/nOnp85hAOnGEG98nZZ/s/EIvt9KFeJsjLXZTA2i5wr4bemkac6Mz1L4Wh+VD
gSPaiAwbc0ScFwphPcU2vJVIwmfyMKqpUudzFZF+dKgAHCu/xFskUsO9G9ItaDSBaWB6tkCF/G3S
67Gc/N/XFYhSoSwhvtI3w4EGpL4L6eaOSbxvhvF5gBqsi3hajkNCakcvFrYb15YXK3fvwvaRP0bG
UF+WpPvSOu4R8T1GuO0LoTvY+aGLVpKSzgEzlfYghxxaUYruYcuwzJFucD2P+Y1Okgc3Ek9dW85X
jloeIPnBEshyTsDwoauINsWyR0xhT2cSPYPiNhvQveuKGBaXw+DnhKj7zrH6Q+FrUbqQDVFHDdE0
Hh5jPV8NC7D4DLfyxZafxzXtiYz5PT50t22OZEMX7kY1/Jpw0XnIFCM5a84fSUXRE3XyYx454Y1V
dfYeaLZPEsVpFyInRXuFNU/kitPql+hy57mX1RFqLnlaDrLNndPgW4A/xR4NlWWfdVPyPLsoPLpz
8meQTO3D5IwEGe3/0nisH4FBDU/WQEMA/rrsv/RV+QlUqQ3kcfLV7OZ7WMRFeZhqEu9DPwFslcCD
8mJ9GIbMnfYy1l31mQaFFzxU08nY1wt0GaFkJGFY5gWU1lt/yUv1vQKLmPwC47e46f/vfp59cc8z
g/+zXDLqtP936/MKx4bXrU/z81utFLgU9SCD4Q+g4BcyLvh3K+BU4G/FEeYN9ETjmP4oTQMzH/h3
cQRomWkT6rMg5c+Dg/+i9D/pNP5vacRQCZxy5CDUHND1dBAcfl0aNctQ9K0fZ9+dEHIvDa11VKF9
QPQijlo6ZsLo8lnI84qfAKMAnV4V4DRbfayYARcvmGHBNTXYrFjIvWxAZTX7SboQ8w6ZGd0tt8o6
zZUHbw0aHzuzKU6Gqwr3osy9CZtqHKF/h66Iag7HZvbgVqPSBsW7ziYh2OH5DKl2l9nogNqHDKhl
nlyPWemh4ZQIun3qrtFpX4HSRAUyevKAg6F8gtSAiv6JyJTTffNBI3J1LQrD/EE8BKFN3Og8w4QW
jJes+XF0UTPp3lgkldGz5RFXsZQUKcJf9yuV4xQhwmtxCAGxTYK+echaaqJ/DkwsJyi5ZLs62pf+
xOl9JVLaudQaeG8p9SnWpCrLbSURtFGf/LIr+TS49S23LXrH5hLM6eNb13RaHHon4WSb6y+mqeC2
4REG4uffVuP/Y2rJ4vvbQMi8cqIYVAtMnAEKvtFuhIcchDUt1peV4W4W3TI1StcZ/veswmAvcuYs
ObIOa7Vg2DR1a78+W2g4yPLGaZAKqG7evxwW/OvLCVCdjgOGU0Z4nzHZ6xVYBLBEE63TbyMtKpaG
Lu0M6jxs8MVCng3YFY+KRLvpUY506z5UnzQiVuhrvn8dF+rxPJeAbRkyy/WRWkVJ3lzo37oEazwX
Jeic6FvUVV3QQGwdW2CvwwBf2X9KeCEpyK2J9ViviKevgIfBBSqHpVWgFDYvUCUn80XNS4LRXDP1
gXS+RKVaPOtLo2sV/+w8OWXVg+5Sr3qIm8oJn96/CzqJr58m7RcHDaLAswkSzIxf3wRlri8Y5C/f
NLDZHJSCWj0eoz/NXbJQc4/CU3eJ1UJe/EgSFvj25Yczn0GqmdGljyY7HLfXH94Mjj/lYIi+hU04
LeQdqqkicZQjOXxxnXpGNfQOoKXZA343NNDfMaFTicCsOxhb73NP34QdkReZ2amKI3mdd9PYOWZd
ZFY+yP2QO1GZfOnQ0CKlCKfWhJNZ5R1/MxzEErk7YEMRLZEOZlPyjxRbLN1/7VskfaJrPx9QnNsl
wWT5ydGrWdcJyBrE/QT4pS4wGxfbJi5zwaaKvwzFeiLuLAo/qAyvxtjsSqsoTExKLR3y8lH08fnJ
QelKjldFFOdDhLjJZPa250ZIO16h/WT+ihLIsqo7JFIK7kv7owksGhkbvsnsITO3p1tzz2WRsO91
Nwp+ze8cx89/pQW54oKmlk5nBIxCzNt+EkRbnnCLAAWXt0Locvt9Wruhs3f6ws6Brg5JU3pQz7CX
7YtbOlT0lJ/KHkFHgKhoaKoUvakJPugPOrTmsdcw6nh5Wsha9/9Qjqz5preghxp8t6Hnl86nGoHU
qropU2RRgHutFruBALsqON6Hua/NVcd+2nNfSZkp69lX0kS15nydAj0p67ntR9bqnhZDlpdX7uIO
gB+XerZHZ4d0XY3WB+gKPNIOiI544mdYSovXtP2pzMz+wy/BOaJqmXX6awOjbT6IrBrJ7IOi1tL9
beqEebkFbe+y/i7VHMcMVaLZKdO7Km/NDc9ySsLpHpLiSIxpGSDxSN/flsbL+vW+jEKfvccRxFHL
5rjYGnmY2uO6xvKlm/xira7SdU0E3Z5zzLPEoHlkoUJxpEbTo0TKAciWmLm67Ue8ohiZQHplI60n
zHnMYe11LrJn13KOhvlZAZxrxv1UDxWrKslds8t6QH3hddCUGXZruqLl5j+XjqZaKnZ2MvZd8Cy7
wJXrVyxEx+zrzORJh59EtC42hXjA7DKa7gHBmgPUZdRXPaCQmfEB539gQWHWd3de7eTzzoDET1ya
mB34YIzAHxWNYh0MWKKOFpJbXW334a4Ffivz79tp52g8QOudlfXlhOGRhao6Apj90vI+OB4hL5N/
FxkggIzJIUopbUmXM/qUTfEw/rIDa2bjOhLZAvXJY7zZW3urlgIqcQCSNkVvrsHQUV83gdN64RGi
ltmOQW+tqGO//6YvxHEhRyDA66Gchd4TfQwazq+DoNETJSYF1XMUQsana5NCBQEn37I4AfsFkXlE
qe9jyIj4RlKLchc7Ze4E96jtzETltROYX/6Xp1sMXZJDDZSSDSHnbaIH18wNKCmHb4F0Z24e2rf5
Uo/GNO5B9irovxJ84454Le1Rz7+SOmGmfK3deM6tX5RTdtk8JI6G8n3tzp0S8VWb1orTpdEt6kRg
M9PSjx6smFHqLYJP3Vh84BP0mmDnxw5TBDBQsXEnimBPXzxbHcwI9LjCfXaWQWTA5hS0G3qhmAs6
AkWCtKR1eIuwh5z762GxXd/97f3Xe5GtcAXsY6Z4LGzUh/FHe/1212FwghkV1mcE6aoo+D7bWqOu
ZyVOw5KvIq9Syy4HZcy7RqDOvF06Oh7N+f/2OsATMVjBoC0wfjsXT6ISrt+EQvTP59joBqMJyOx8
jn30t2wI5EiVwYtmQ7DrSUdk3pi89/3LuEg3qGLoymKagREE3Er3crGX1USdD92PFzJaHWhojmrL
m3aaOasb/xVKSODVPV40UZSd/QL/Q/I3a4EPJtNBf56lwFO4yBtRasXhp1r7Z5oEKOc8EiwigpRK
EzS09lvw8dqJBtYt5mlqeUlBCNTdB0+A1Pl1aI8dRlgBuypyWZ6804tXMYMJHasGb+YOYg972ztv
MMSUeXs3NUqZpXMd021mu21JDOCIlh5S3iECjCwJtlsnCa3chOzKsskNi6ngyMsl6ok0bPvgdE/n
P+yRSObjLbKx6Yh6JuqOQ7zLRW+hVlhYVjeVX2TayA4AaVRBur6N/dyvwnu3VSbRmFM/FD8DCxMP
cRyipbOGfQ26thi+ZrDAWMW9PUzlckeFVNMcQ1M4Du1jiWYBl1KcyzGZDI1JhDB8MifVOfyXitX3
k7GLSXLGhJnE+EkFqHsCDENkiUPDcYvMC3d0OsIgObpqXLtvrQbTMt07LdzDn9sJ2NnDIpkr02uV
/F/V1g0Xi8IQpdY9XSzKxKPtpFbqfLeCoK4+t2mHgvtDCoKb4wj9Ou7xGHiSmubTgPcxrmxySVOM
+JAoSqENonXTK7gfMWL6ChDbFC4S3G5o9d94Lh0n7VqYl32knqy4hJVZCpfQnXOWeWjcgHnNKqMc
jSivLfg/rLaJeNczqBseTa9QikQja1pRT3ioEV6mDAzjIeePwVKFp09z6FSqWuwufnL7BYdtzUKh
uW+KSXI284BTD8vo4hrljoIcsckdUiolfUDjSIwpX9NZH0KTAbYz6QK5KPQqvtCyMytqbEOTaIEj
rTlP654THouTAOGA7EBCYM5qByIAH+cjnjsMx7XgWeVHr0EII2DQANKoVr/ryK2W7H6aukLSJ6/L
yAj2TR35iC1RAauOo2rl/JdIo1P27siFZ2SVXVfOzErQxPKuslZJiikL4fjqIfSKMkZc77w1Vgkj
inYhJIoeabY0b1RsfWrWbChofWfjImy1LywcFf9qqAfAAEME95LxCWT/Cq1wSBKTt5WtjyTETRO3
dTdK1DcLYseL5dsr/GWr5FhymB7YJUk2TlGePWEA32TrfdhhMNx/hh6tk+WZHbN2q4Bf6eNteI1l
amHSV9cXa7GHVhYHza1z3k92JCXPE2g6cpj7UkHb82jQNp4bomzpVXxQlA2mUNiqm+19O2Fu0iN0
Kc3OMEhL/sp2KluTZSI3ql9otNycU+j3A/ebcwzrDoDLYFFIVZA8uAhaohbOjBFw/vV8ftAxILXz
uCP9FMxacXr54Zxz7b5V5dSRHRKIHzUi3hwe0PQ5NsCmgo41UJfXZ6koMETAxUk9YRtR66fc7sLq
AYJPtb5YrUetc0TLt+ZYe//WLxCxnBp8GnkaogAAYwNU719/btyvttVFc/Ycecm6Lj/HPG+RC2EE
pIT8hn7KhE5iRPcKjmzdTQ6HS5nBomdYXmY8r6OCUktlJV1VlnCK1mac/Vs/s7LIvmYVe+UPCksT
C9Ziln33JVEI+7s3nt07CYF7KAIyKS9D64ymNnpTtfsUumtcPNuLY3ZqUFkLXRdUPfzxmA6Ta5Lq
mdI73235YwbfgqRyuyyk6BOOfZ8ZOhGhtqxkGJ7jxXLhQhkt+a5GyW8sbWgSLX6sDjKaZPTMZMo1
Xh2g//ALhvSD8/n0GP/WWqQTFnogl8B8oBcCpPKiFQEVZ2Z6KIevdKNh6107TVIgJedmbq+tw+xD
Wx0fHIGsp1FWykXUHQh51RLcJ7hAruu3JKdFnt3M/cqmOjRIK8YoPGYz9cENcwuPJ5WvJVLWaA+t
qSyvLKcW6mu2BAMvUJR2jnOZ2/uomxyzPEK67MqlonaQzuWE6IFBeKmHsO4Hy8ugSf5+31hiJXg4
gIex6cCA3H+9vJxQzBhf19NXDEtCZ/iB8yskil+FIXy5V8in8qE7B5wTC6QtIKDyHjt/dZAcJKzF
v0mdMYW9ollmGgKOjQrvS09pyw8gugytbm8vqZAVrYbJ9HbK8x/2wR2Ww52cHO3Ph8QaWGxQVG3C
GBQdB03bQy4z0sTbMIVFUh4bNQoetmwtc+gj4V8V/p/gQEMd3DtrwZVgyanzYT8WdLLmO93PS1Uj
6FcNfowELod9etXnrqPh2goER6eCOaVHf/SGRkqirGNEkoOqlxiTyQEgGXCsA+GEMbeYt9yDUDnd
O9Az+0iIRDP0g2Lssl6gzsajyGfL2wCQ3nS3y1EXSbpMyZPnF0r1v9M4qfTTmjNvCoDyDKZ2ZUYS
8DS065sd9f5auIxwNJxtlgAlv6lW3mTpneBIWyost9hs9foSnEPq4tURS8DNUfHCJajsCL3/9efi
zgaSP4rA6GPz/HoJIr8WFrO/+k+2b/G5fj+advnsduYYGrVHWIHs5vC99z/XiLm8XvtmmmB82oyl
CN3Ui5Be50Wrh3ldn5TD0ucepQA/ASTqVBVwDuRud9c1ILGtA4M63QePAm96w5kv8wXfnk74ZTTc
drkWzrJzR9LN3+nkxPM8fVBBXdhKUbUwkWZmAA0jtLnYy/iUaLuZCt/LgXnFE8U4aAKzEPwhHOM/
SLXKLNm7ZZMO30o10hq7QlNYl78osydKiq3iw0E+QQI0L2RdtnD+ewtP9qGPzIN+/9ledJC4XMpN
gx5FictIJF2801FA+tZtEzziFqMJJGGRm1WkfW/hX/3pfC5mgUlI4E5us1zbQ5FxgFeuB0f9g4t5
s7AZZccxSjdmVdvRpWeMycZkx0jjqQ2RGQx29uSbHNYLxojPGuOVPGJs52J9ef8hnCS9XgVXF4l/
is4oCozYzmVwTTIN5XfwiTSRsORtOyjT5W5R2oHi4crAdGlXpAzQkSfFz7vqaUttM2alvBOZjClZ
1xwvpn4JkCLksrfGJ7bD4TLRjdGm3+yqJZvQGcjyVa57+GYd+ZnfzVVQ/PX+TQXmRHh1U0i+c1Dy
bh2Tll1u14RB7RpgS/S0Nb6TvkvCL5MjljhHxRtduv5G0TNeoWhXoagAxLfuiAxxCKuUm8rGWXA3
0JwdMm5FeVh3rGO6gl/X3o9S64rmd+ihvixHOgQ7D5sCtzqKUNuI6EVNHlTTbST9sPKuYfRRY3xT
nmPb1uGck7kz1s3UMn5uBjQDvbPTF3oO4z/yFUgxLeBoLDN9iBa04b1rhLP9YNmlbWir9lBXOY7z
dxN6kdbz2ska69vtdayLMo2/dcLIgVYnij5g9xmUdhk3BwCnHo7q3P6nkdmwmreWfa1zjsD9xCwO
2YTeQmp9QayoM9cnUGpd5msHvEKzIrtaxWADbzOUOgwiq9IUHQh6OwXmXO+/xzenDeNYKC30zwMX
gszl2gyDPAN7U8knBdmTPbl2NLh/1jkO8iRufWGeYeTUqbwdiyr4MPi+/XizKZzExsmJ8zy+yDvI
tYqSaUr/tHWMfRcBWqyMpzjk84vTJBFRW4+rwLWGl/7B7btvLiAg6ochNDcg7c6b+4dBg+nQKtRj
FmameC1r8jda0bgvl9MVfnkrKvdczkoJLOjs8ALd1WeNHKwE8Js4biWw5c6mPTsRkPlm2ltmWoKp
iBm9bFUTTk+spXQMBjvCiSFT6F5YwelTt5XV+LUZJQ3ZJJvgZolU24AUAWFRhnvpLBEoPloBRA3E
XpHEaawPIuSbcA0zCSoRfSkzpn/jkarrsHJHZuSPW4ii6vN55Vvi7tEVED+rJSeGhUA4WS0L3B/9
NDfDh3XWZUIKOxWkdcxkLnJPXKnX2QB63XWQLbX+DYyulaGWqhs+Y66QaAHgBgDl9v198KYFjps5
dxMFvhlGJnRKX3/gbAVh1qUgqXIfvLB3hZEbdfHOAYSC5m7f5Yn6MftRk+7kCCmRWT+xrsYGxaYV
hH55z1zso835pupjwMsjMPkgI5i3R9aIbCoqg02Om3JmIsniVR7HPfwak4ifEzQQPBxcvTXxTBpt
mwRpPZ0zHGt+9YDbwGxOXlpBPEZ0oGhigKIyb+8cKJvMa9aXqBwxLrnGfsZ1vwoEJTCeGevGTLXP
Caggd2YXjuFCNrqND8FVm2UeNg1LogatXAJ/wgYYlEMTMg/d9fjbRZ8QeJIommVW1Af7EUYqWxuw
9UR5iZU8GMAbNYtTOwnfP3a/4zdYiF3Fk2VqegSNzK57/3Vf5gJsemb34B4cMgLAwxc53ySdAgTl
5D5vBXwzRFIdO6R90yMdABRCdog7fPy5r0/NwEzTfKZ2mPXi2MuSu0iI3H4p4jTq9ONiYb7V/9mm
DLnqF2ZQTQWV4d8AnsfzUfx3ojdt7VdHNDbHEAgi4/7K+nFM2/31kvY1ggIg1aLHvOtAq+wqGsyI
suQB1O8WxzRf6e6mcYG5WfyfzfrJMhCeSKIHk/nS1ylwcySkcMABaGcP2no+93WU4+GmeJWe5qRB
CmYGqXQH8zg0qgka4R+hO6F0CRPOdqj26Pqa+nGSkNDye8D/U+ndydnTtrufVGL+FEcjxli7mCmE
9Yz0SMqfcsppUi+zU5SrPqhy7UuJmD0dxHRXnC/UyidzY5F2zS+nGUIyn3GAS2kgN/NAAxy1nJVR
Gyra66xR1tceyMb9Nl/FmqEf0mOAuEJSf2vPD2KmKtLL90bTiIEH6cjJ9r4wIFfFcteUcIOwOklA
PIv7UI/Mhp8g05nbb30hRh+kTpXzzIqxMUiQHOq/EZXDKqnQNwsWb9yWIn8P8RdC/sfPGeiFDDGR
lcKypTgAiFNcde6iylh9yhim8sJW00O1bzFfKtb0sfbDwimPnfLrFCl80lY613kNKS96Shk6h39g
HWAupfDagDFZRTeKI2l7B9Va0UDckWJhzfN128eJXYX0npFrG/P+IDxvRUN8srFCgunZuBkNIA+1
VcAY1pCZ61tphgJ3cpJ6btA0G6R55ZY2t0x3dC5RBbHpJXv7fKws3jyh3iQSXYAY3LaELDIlXozb
OslkHVK5+Euz75hBDjlGNL7gIQKdHlmh44Q8pHVTpQuwyv02J9KD7djpXWGTdusb8BIMzvYZ9jtj
9oDODMCE3ZBmtNavq6VQU/S5t4XW+W956mIQ9uKGVcCn93TDeRp9NAXzcsuwlpV5W/TCrPc69s3/
KW9J0KkueunAgzyhfQBWkDI9aFli6WqVCe57meuPYfGlFHnFNU6IifOrH+zn0xH0vyk3+xnFWcbw
5GsOZxVTkNf7mU8HDaTr7lGRCfgDimPohnu7oQngRexE22lSR0+GDDGuzmCMDbURn/FZC9ZeQUNL
uEMfiWl4CIkUuCzolDj7HcUtU287eNQkVIPnxjTgEEbxAiXkxohd0pDr9lQ4Vhvtaj8H23ELyNvm
6SrmfmaMNApzIGz4t8TOaY7qIOUYQjzcgOdwczEggIA/wc/laoyR/EEBUjsC2txgQbntGYhn19ls
VQxLGeQklD7UDR6jiDjF13ZG0VGZrnmNmzMJ+DbAFyXEmBTE6UBfj5Z60fYptoBcSi/va9j32DNs
vwgFWFjIFKMDsjRXQigU8PaxXH2+BJ4vUSxdHdQrv29pXOb1qumP2gvQ4UafhVUPkOac4uUuJklG
hd1MgjbgjRunBlwTrEM6fEGXCbAakNkKEb7f2jIROVfpnaccaJ4UXXM/mEick00tJnnccsgRcx2r
kFdWM5meGrGz6bIvYSibgdXZJ0oyo9nyxw0UUgajv4rHEkF1R9xUy2iGVK6A3ij3FDnekO4DRUer
uKZFsPDrG7YFORCTvApESHmJ2wBvQxi5PekS5z46ZUDmPQgOFGPSFmH5j9GhI9ke3BG2eXfbViQw
+Eqd5wYJSw5UOE7I4BY+sIenF3Z5stGpISBCR2KebXRyX+8EuEshuZfMvrRZxxTxwMkUt92RU4kn
YCggpu3MUNEEnbVmhvR5281Jl/dAnBEPTRbMYmNRYYyMR8I0wbEIrPaYYujA7/Lk8MlewZi3IMyH
fH0ZQWOQetGQpfM11YXBHc6wCsyzYXqonyIfABB4GLyV+R66DmYS4aSlmdr0nYT6fjVaZJHLQU10
HAFYTYP5I+HUU6TuqjF3xE8fNuv60vhNZd4HcYTORBtHpjIrqXvp6gMqNOg9kFEeqZKYS9O8sDBy
pDbawGcUWlxjabPbv7BTmLPvWurkBRn9BEDsfWxZA7G8VvUJ4qYzb5nwBdFpAVkf3DgO4JPbmz6f
HYxAupCloth/8hjGVs/9DDgW7xaTBmosBnkmeCSY0NEiEwx9DbO3psM08jw/qCQQswJ5JGtkaqx5
Df39OW/tfdvcPrLxBgaB2U1YdHdqJvR1+0E11BWdVcX5rHdIFuTrdI8gpEluxxJ5ZAh6VUhY8e1+
4XthbZNGMLA+dcO2XuUgVEVuOTp1Fka3ZShMMiu1a3NKRVq0+Z4WNiKpbZI6yXJXOhjL0no6X3Ak
nJjLkmgI8bRHsJJ8pm1Xo3lw7phGJ6WyeiCFzbsl9a+grU0IanWlh7nYl8Buwepeox2FZujRRdmd
5jFSTab3XWDnwHUt54c3tbgcRU8VwpHZdBWBQSwsxFbrxXTaO0hm3a2c+D/3pswmpLieCjX32XDr
ll2Y3+Ygkznj+3Wa+AAWpeaR2paPZdo1wV+QGiyJxexc9Qxp0dor7Mwahpch7E0HbjvQYk+1orpf
orTlwhyUg/m47WECTPHX4RAzUlrlkd0ds9eRKDHZwPbrrj0hJAx5MKPJddUwcO2+pNHAaD+BC8Db
93CJ5bp03Jh5odSmx3ylZRj1X5ei0WG4PxcxUZsaDAjxkiW2/QMZRFT39pS75q0jeFFo4G4nCM82
SKkcvCrsGxSNV6nhrjp9nx9VTPv0uaeZVpFOBe5gZlOhaxAMndWJ1rsPMqfNJR53pynZthnxpY0g
OPQic6x+3y222S/Z+YXp0DeL7FyJJj1zoepmmGrTt0Qf8LTWJrVi/4RaWQNzz19DxOfg4mSng2k7
MGp4OTwSR4IeParaJiAdafQWASZGOUZzzwwwnNm+E3SYl/Bg9cAVuv12x8E8YIS805MG/Yg1bWtC
EsVgJV2kZuCR/axPYWRmWxIPOAZ6rR85k6NowhmvzNY0vq97DjB9HeUZ4zY0kxsIl72Lymm/r4GZ
q+SzpB5hTUoVmPdVxqFgBj+fG0Sw3g18KglYi5TlMSNHoEQzr+nFlqtThUgDn2c1Stmm6bxN/9x1
CQistBJNm9khoDBmahNhIvXCXIl3vGGQEVAzsQdKiwltnKwGW7A9vVVaI7eMbZI93eIzGD+CxAiy
K4WnGJfjlL7p7KJgR2xoUnqj9GmiecJMOo9a4doHzA/AeILPTRXc58bC9bnajRCwy/45ynhl9qFC
h2VpD9U0ZViM/atzTXeQ68aHzezIKh16s6HPwwmR5iYweW3tLEic4Hv7A6Nll+jkVgmK1xKxyAwl
0XFELpHebq5CVSKaftpmszWnFlSkYsb9ck53uhwKp37E5jOnJN05572sYvxym4eiq8wK9uj2B9Et
eoPmBoHP2oBeB5cs3v4X9DJamaGjExvU+cB3e5UUZumXNicRPDrK3SyBvlfk0y3a4aBy40qbDmm1
iIZQkHG3hJBzZT8UKumr+5CUTLSPabKagCWcPuWKNLUT/7dlZtvQxgrxzoFUrtyyjl+WKIrRXiWV
4w1t19OczzT3NCjUqeX33tftfcEfMmW/M5U+JRIVoWUCNuowvqFNlMDV5XFu0D2VDxtYDOs1YcLk
GUGm+tws0LkdyHi+dokQEM4LhKvXP7PZpomUFmZ4lSvvdIKZ1lU+oL3Ksjl3IUaw0axpwvPpIRP6
+VdcZp2a4ehO61De9JqSB2x0FNIMQisFasJ8HeaN2XS9KlxWA4xE00ilNBQ/l2TtYnSezttku0EZ
M29i1dgI1QC1rFsTFkZgD+LnFmJoYLMBvKQ0DbDtuEwhfPPJQIZ8nv4WsZtpDrnlMyShOjdtRR+b
XeQWls3lqxCAafuo/LbkEFRdY7adcx621LVnPgcdS1O/TecDcmixUuWAWDuTv2yT62JIzTwiW3MD
C92KR1H1psYP0P0hU8+gD/CvDrNDs83Lxpz+U4zwpJkOn9AZ1TkC4q3HGT+cEonlPN1c/em06qJo
AaEtJo9G/dG1YklwCKBy8qHbABSHppz1WWmf3pd7Bn80WptPKTFIZDXUyAhw7EdhrdipUOrNb4dM
99eXQuPNGdyORE1b37mgfMCtbPe9LaLtYWw7O/A7M/EezyOyWEctK2u7/S0IJxHb0NtJErGw3Gcz
fXzSGNR9sugqdwGS3SKoyPM7zufkr50Qv0weloCeWYcybm9FCNRjR4BgEjD6dP6TbizBEme6VJLT
otUUhX/4fJNc9txOESr1vPFQQY5BKreVgWl0ZP5kKuGAw4OmREwLzARdDHP5tXQyr8bNaLr+MZrx
DkrpzRDwRcXRzIewqgfqVr9LW5k8zCjMm1ZG63n8xSGozZfELwCx0QP1U/3DU4BY/zDQUm7MQ5OX
Pz8gB1rjVk4f5Q/pQdCv98BlauGiSOxW/bd6KkzLxhti07IZVyzbm8O5g0ACMfKPrWeA96X5iX7A
cGK4QrPBtKkQbDfdw/cr68tqgpEqUwD6zXhquGzuiz5ZXg9D28rOw9KGYwaidh1phK3QZmQvwkIx
K2d05xXl8LVUpVfen9fd+1fxehLB5BvwtRtTPYHFjjhiTMvyb1SewfS7qyxZP2d1Z3Cx5+moXZP8
MYrnZCLDPk//o9z+eOz/uvfPx7tADSjCIwe0g/umM6mUpbvGR2zKbX0zn5uEH/GktxEATSryrqxo
bC4jadEnNPl+dIoN/8HI1DWtjL+3OmgzgFkGsex7LHLvsj8LwATF6DwoKUZZ0M1DLSm9Z7wS6XHY
1hVK5145HxSOWHQAklmaII67EHU54xsDPdpqcPCDWII/MnUm/d2hojGS2SZpZYCN5Qm0mkUnOOhk
UWz/mLo4axQ6y60p0DbcaEFbMWwOGe2o5aOxw5unDswD7x7mLUyfGERdzL8iO7dC3xrdh9hriBFb
vKxyQgC15mk+Xmpl0s72HKWb82Qc8JfZFe+vwNdNcZYAQ3pmDfiiOZCw3EsyWQkeVYxBqh5yPPU4
ZLQiteZYORWB61yc4m87GxLO+x/8ZgMGNvYwHqUdbXGHHtfrpe9KzLfzxJ8eUFoxWRaSED4Q7G2E
O/lox33bEkBVTImR7D8Xa+9fxuX9G2wFR3oEnY7u/Bu0wjQ7asyauX6AfXTuWuYhr4EWdkFKxAaB
VID5zGnVv//JDrJYr9Y72w9Uh+szimUqAEP+9RMQqsBYVaW4DTSj6RvUUUqxe4hL0SP+LQXn7k+w
nmYsos9NhykW5hBm05qj3E+jLP0NOXNU4z6IjpdLFOIFzyJgSycOQ5PLkUU4rsAAINZjFnBqqwRn
cKWcEoq08xKd24wgtU2DmjA0mUPwnwSp00r4e1xwGRUDVjG+aUb9602QxOotBtM/fKpU5a9gc8/P
BMilsr8umRT+tJ8cGdk/6io06YyDkbDzQ0wwH7KrRECEoQ2dobpUYriAsI37AULncimHDqKPsYsY
I0sJg7eLF8kxowDsJ9HDv0hx54XaW6ROtKTwDFxfEBylOICkCqTJWZuAy3x/OQWvIU2Mb110VFBR
ZSuDiHoDaSIVUKabuzxgLFhzNisxdvHwkKikTl8yrS2jymQt0Pie1jMTcCM3FyHY8XpXMQH0P8so
WFBt6ldhd3/1qcyqH7nlwGby0GBwFFCLeCJFhwu9YBBAbZXFYLxnx82Iw7Q2meT4QLZ44lv2Lhpi
OLw8OzJA061b2mVaSXDzLT1eWqhhAEDsX3iNLaYLSEn8yWmGqYndeKzwUCO3QUq62wsUm/KZMSyE
7JX1EMdkoVuwCGv6Ts8ZzKYCrQZPRYM60GP2xrhFrqk01ExVLYZ6Zith9Rl3kE9Tc115nYE6ZPFo
VnLt5nluH6KAXLbf24E3Snk34HU5+we6ILn98v7bc96sIahC7DkAuXSyHGrP18EAFZHcn5kUIhh5
wsL359sn9aMgvuMwQnUDHuhcJ0zxBoZCENbOUOzt4BJnSmpVTuYYs9fKIPdR8DbQwTMHbrvthrFU
983WbmbPeyHiMP1oCHk5g4T2D7yD6AEDCZDQ5X7woJzTALaHTxSDfdD+gpufIw0EEYjqaONgbmy5
tUXTOyH0ZZSj55CXKwwj7A92xwVpmt2ReFwJdGNkTxEOji4yLTu1aR+xpj7NTRyv+XcvGGRf3YKr
8K3nmDybRDMCGN387hLEWLDYJCYUnzLTs5V81pHfzPOhJVOI0NgQJ6rfXHem4AHuG8d/UEN74+1K
QGUVwaxMLXl8f428hkeQn4FUCaF1hZDEIlKli7xBLeCXIkZtn6L1fzg7rx25kaxbPxEBenObtirL
SCVTUuuGUKk19Ax69/T/F4zQYFoNdOOcq4E06swkGYzYe+1ljKGDGNDHlZOcjAXcKz38f1UHAVFx
jkdaHQJB5NpY1/6lPmVm0tKTe9WjHijqCr5V9Tk+AhnNQutDdLb/hZvxe2XMNubxyBAtwThz/laf
F1MriRtz85ilecBmWdF8+99+fX8ZQBR9H0S9nLzF1oRI/O6fb/bfvh9KOD6AezmK++/vbuZ1uabD
Glrpg5ZGzGxqsqf+i2qrsjyID/etjTL431hKf/sBPGYITyhDUHKZHDF/vfU+8LGPpUF/g0m374Du
3mTrw4/Ue4mssf4q3OI9rK2DL/98A+Sj/d9TN8TFmLpE8oLAFf52qBXLjMMVTNKHnA1y+xSGYx9e
0t6PAXn40Z3RX3wbsfC/vKj271URlSBnQQQTicqQNffbdReegwVihZkcyqK0JVHDbcT6GlVdvt3r
YXqNWYbzZbA6OdXmvZHtLnx52bpksZ1L/LvNRxrXPoCotx2RygD5XTriadkM9bSeTkCeUswm8dw9
IcQyKbgnwrmg2+WuFHwxVZWMiH++rb9XVtBjWdiQTOHeUf3/3uTEXtws5HHnD0M0Ofupa2NXfMAW
gMyq81gXuOD90n55K2OStxER3WTKHhtC47885N+3FKzWqfulqSWuk/Rfv20pczlEiTOs+UOw03nI
QmKopSo7BQP+88X//evYuZjeIYSEFEtJ99c1jZWaxwxz827YkgQAZbkt0V78rShgBzwvwVv+5Qv/
tu9TONDcsIlh3WEiqPntK/s+XtqIGvGmCcD5rldckqrZXsd+lrM2qaOfyod0HVDSHbva793m2R4H
4m8viKRjs3twG3gS06NGK7WgyktgrYOtRB2A6oKT2vaqmUUinrEkc3Hs79972zjIqGk+VR4MK7wM
lHGEz/OnZu5lz0GlItdu6ROG453SmNkNIixoHaCCOx+/VBQvb5zkOCvIKjlIx9e+45+HijEl6lmO
IHMYg0CzIibh4iVTdWhN3jizzKmSMq6KPB6YX1YmS1MWlHwj0m7KNvNYxi0jPizOGFbfZ2rwNtWG
FOhtQS1/KMoWCUt2aOP4Et0UEHPiAUtOzSgvSbpE/JJI9bkvAXqNpMXeJl84QZAiBVYXlxI6VB1F
KVvAtzWpfLJhOqKQsIfsjG71rz2Bf0lErPuG4FyBM6Y5z1x3zoxkwy0vQWL/Xt0s3azo7ThXGmMN
nOlhgVicenvVaAu4puzu7B3zUdgw4JrEiXcOqll75ppfY9SBq3VUlDndCZL/Im9mgNsh2IKehQp3
lh4f2Q4y/y/PTrcFWCBm7ksZspLQOIBwYigmYczmP1TIYY5NJQ4g3wd3ztGVeUlJOhtSLQ9hUZVy
lWCj2b5ccTTjBhq4p1JQww8gtarhtYr8W2U3c/SQjUFPkhseEUgBmS94G7l1ezeJHIi4AQKkqr5i
Hoo9QOIc8851AQrxvay+Q3wiynNg4OK358lsJEKekBzEu7IOKRNrph5GApkeYuZ08C0PYPMsygJJ
zoG/AsEc8Gv3rl1Sy7lqDaQQEaRlIdX5uqmpRukbg/MuKXx0wScNwmuoy1aDcw1DxyO0xLeK1G5Z
mgFBuM+d2c5FemwJbNg+z93K73Jaw5p/VrA4sctI8y31Xhc+Z3tltj6OPwAzLPeVofg0vsMeB0vC
i2E0xvoauNtiDO9Q7wn2fW9z5di4QDJP0hIfY/XlqVdzYD0hwF1A8i+RFO3TpjCTnWYAXs1ipVf2
LcrCJhdMcwLmjttFkwHYDdkLrlsV+d30EoTFgCOmRtjZeSXW0qldQBdw0UqK9JcqdK38RS3r0V94
ZYv9xZ1MMPbktE2h3YszebJyGSqyQmww77hrDNuYiuOkmD2qVS8QhbIwFaczt+3cM+Fi4muxnZo2
9pgRoKqT8wut6PLzYk66s9lW3giEW6a43jl5F0/PJP8mZG32ms9ZLymHrb5StcTC1UcGZpbMspFm
Ls6G94tCU9WrXoRECX6ZvG5yzpHauvTsj+jjWm5/u7py2Hms5q631LdJewZ0hNfw0hYcVXy3mpoA
9YJLaOC+xLd0e9XUVRf2MKcKdjaJ+boMVBfMzrTrQZK0w0dSjYL0LLDFrIDw1ZBDTah8TFxZw+O8
lTxA0Bp5h7YFnQXsBO4MCVlqikZqvGDc4KpJR9WOkq8UMcDg30uaYPumjX6Gmcmud+rgObHBY3PH
Mg2A2mFbpJYcspCK5KVPxGL6G34zaqPM6jhkE60WQSzqoRCpWeTHOjKw3jhEhgtLpVUv26w+b592
dM66hp/xCOPpHuJ8jYV3QDJtmawCxWFSj+bX2t53vZ67wCYfwI3nlqmdEqEGP88KO0lH4pCVp0A+
pHLmpcb3mlSgKDIEtcjuJ1nkZHga/f1wU9CRnrU7ew+otwcFMo65JV9BF6sInquvqCEd2C/rsm77
uCyTY9NkPNOoNQKZUVzTxI9HAvakJsZiCM/9Vps4WmiXKh2nA9lCpqqX/6W93Kfv/11suwBoXree
936qC/nvHQVc6LFcrSrKpDRZW/oBmeYiQQ97K9Mt+5D3aw5XSB9zbjBQ0xA7K881jf0UYtjhcoWr
r5sjl8bkJgyAnhzKDIZVhbIoGtS+0lglTL7LKCfQxhlOoodfr2UPctZJnc5A72sTjxKrL20YbJQJ
6k+WAvCJQJXfrmo3+ESycdAAfoExBOuoYEPl6cZjzeJDkyoJRYFS59BxVtZTboSr+dj6+6itGZrw
W4e6Kv2SMFzGeRaYxPhZ5n6oldYl/qI8BT2UbJhZcCBqSHt2E8pJaecAfSMfpTPAZE+sWC2/ipjQ
GcjAEOIB1MVJVBfOhfDcBDtjV1HYybCUp5zbzPI8ATN2y/CIFCcm688HABz782iamPGcB0VcV8s2
Uj4EuhLQxz2GSewA91lrjzAB8Ynb6uiYtAJ1OSPTyjG2S9nhEcyMd//hekPWhaNe6IABErMvVkmC
0vPZuuPgftEdYulVq5wdK1pSZGBqgByrQQdlw2TZa9xRFVWa44VER9KNopm0RRgdCmpmYsZ755H4
SqGFh5/cZ518GFkwUGPS5ePA/HkQJ+KFZffTKZJqbNPNiUNuMfjEHsNJqvSkuSeQwGRV6epPpD7k
EznRJTZapTjaIrZR3LCmneg6QsXiMTkK+FU9M2q+Rp1HkU0Q44sBJ5gBjNqdVPHUqfIQdojcLfTk
N1Fzdqyb4L6oya9enlu2cxzbWVosqIJUAVW9qmzhHfu4502pVdmw6mAkcSfZ5MG97vOK64J4YYTS
FUit5jGBFgr3RL1zuSQ4twdGGw7czq6HOxbch0PdCjy6zdh33yr1sIUP1/x1yHFFwMkghWP44vim
HLg7U5L006c4mcgXRpMgBf+YMEo6GC2AJBwoRo+R7yC9p0bSIDRVCZGQe2pjMuJSTR/1DH7tvXKC
Oxej/0qPY+/KiY8Wu+SKg2ZRXrDS2770WvHenDMH3XuVMUqA8VbAqGWyu+/W+h2DNr914ykMsw3b
dw1WEHM5FNYxwZgi9Q9tPu1IFqdkUeN8y2Y0H1eTQS5TekVqdEqP9Sq/ByOIQ7Dirk6KpiIO6Oq1
WAy5Fi2OZFaOvslagsgJjR72KOlm6fLcKwoRgtR6CM80IYvAEhsH9D7/45/bu98xCswPsfdExIYl
In42vwONm+cvIkvq8laVDeRsiNiqnt/kvHhVkywtM/l/+mKUQrTwwDPA/h7Dq9+huLJwhpaExfSW
l2kbvq10CgEk/wYHFpwoWoOUgXPNUcE2/89f/PswBIifhjZ0mZsx9SBn77dZg2GEmGFWdXpXz2sT
uvcAq4Of3CI8ZqBwQ3EYg/C62W5nwaPZRlKF66ObrQ5uNj5namc/FvvWMpg4jxTvYASOc/P+n3/k
75NcxrekwVi0DzBXiNr4XQK8wnYJgmZyrposqOiIi7aL63IJ+Zrh0pTGBduZJg1y/L4xN/64DFPT
NFdRYvKWHeyqA8rvRGaQGgxpDq7xoWIZOPhEKp++Nq3KEt+hDH/w8jB6XUlAbEql6qTnCjsXcFz1
tnj7VOCfL9Pa4c//wciYnVuE0SA6wJ8UOePv8IkJA461OdmXgTAtI6R0SmoXzzxi81ps7AYsDVqc
pjJq/+M2R0ucnDHbTbHsVz5yvkPFTf8YdJbxZo1sKhhT7QMVbYun+djgm1BwD1UADzwlrxY//OGY
ppvonjpm2at5rII0dXN0s6bUfdQE9ZJWB7rj0dnN45BiUUjnsrIRKuga+pQcnLtTMyEwjFAwkMUx
yjPiTfsCibKpW+MIx26zpiv58pBTmen0XvMkKAOLiuxWzrTvGIzCXTivXuUEr8UWe4hsA9cY++Ic
TxuM4IcW++3UvG64+sfPsLHWigYGpk5THmqPYO78Wq5RHT9ZsuuGd+tFxtydIOg00fq8dn1IvvEQ
ZRI18LDoT6DRThiervdmj/ZtOTlznBnFWddaXt+Hi/FlXbEPEsfe6XBmJVm3FMYndzZND9tCEXVr
ecE9G+j5moVeyV4/r4gBEClsRCcn52zqe8YCO8egUhOVGKVT8AO7HeIHE1qQFtCuqBHnnbp2IHue
1mA34tTTtBmOc47S21h5h0/T0gdtchwcGVJ8ZGeE9XlfYVs0dp/gDZHlcDPbCDOLF7hXedbiliQC
s8fud2yK72O6zOYb1a8d3o9NZxE9WywxqdvHBsoDkzPt3qmapixMRx5IV8TknT9OYSPtk5RWQVua
6lrA4JFSJqi+bdqEFDgPZLfLEhUh0NhTxc7eWB1sKrzpT/UiJTkxpR/TwJ+RGfgrrmfdaXbEhI1d
Hhr567+8YthA/BWHBgMGBGZrx4bahTLw+2AMyV4Nj6Dx7idsxZ3pAJM1EfknC1olvpjshPFdgD+O
x3SzFORIdw2+HTaBOHOJFeppsYiDe2BqGFunBnskEuOHBmxutBJiYEdscSK3SuYnO6j6/pgurn8j
Ohnx7wEOvZsUN8iu4HgFWVFDTxBIx/+XXiu7MMS7vMBW52Y0uF5dSbJoslMqsul73BdrfnG8bEYF
Z1vdB2wQMnFum8Esj90WeivaAN+e7304nCUJ8nHUnNo4CYZjNiwQUk8W2SjWQxTVzbMRrCSYmKh9
AjKo0vk00w1uJNOEhH6nnohuiYeiBk+dOnjENIAk9Bk2ccjFkgdQ1qP1RKLfRLjb5tjfLD/KbuXi
9YQejEH+3FXReOqGzHpdqiWBB99999O0fTUsu3guXWOxDtvgQgI5MC2Mqwm7rxRj0kfgKmbhMgRk
y6Jj7nRVbz6iwTH+jKbEueJvWJ1WxBBneM0JYQ99eMe1WmfTSNmDBPjHJx9TlUMPAQSjrmh7HLbY
TQ5RGayfzZLkPqb6rjhOVtm/m7K2eR87TfeUoLu5FOvgfRhCw7nGkSnOIm+kkyHgwQPDvPpq0jmc
LLBbaS0TPOE8lBDnEQ6fzMbz/ljtMP0c90P3sjKdf0ywH7sv+24oDrAQ3ZPIhEW9NG9nf8ldWE9b
vtwTSzI+EI20vBN2b523ucvPRe7a2JZNTXKA2LX+2YRz8bEd3fl95ZrDDZOy9HkOTJmp0eXtuay6
7QFFVfQR163yZiWx9z6EHe0ectxciQIqwwcT8uvn0hu7zxG2dlcYN8YRnCS+87qx4TQBdDsCFxku
oGno3rmTX39shrkWR8nBvzjrZHxP7Ew8RqIB8aBp/Agz24Zm3znXORD2k+0kxmnepu1n0cXiLfEz
vHnW2DiJqegApWLrjWz68i4Qa3HnZN76brON4clP+uZqpdN0n86EqzvxtsInz8L8mHXCfY9TcbgQ
7lDVfIsVnw1614emcddDHoZdcCG0J/4PTOPXyBfjm8XxdoWnGB0KjB4QeXnsh1lhfnLZgM/GUoTv
vCQI7pwtE9iT9VwAsLD3KaSYRzo/o7M9iVDU38cq94iCanPxyNKkTYgasoA8u0bchSkZ9UVhPSYY
zHxfMte4tXaH+ot2595jO3khtwQJKX5ar3jMbAexTfn3tC6y8jjbNex5b65BSmILUTNWcLCEJwcd
6lzWb2yoZKzb/E9+4OApwJaQ5JG0Y7RfVyMYLx6a1ftibEb2DCI2X7AoHF5mDhum8X19HbG5OoTA
0B99yJb2Ia6EVRRHI5tSOmTw82W6lEnV/2EFQ/2cUqydjZmp8ymeAgJ5EqC5M/rP1znHD3AZxZd0
s4d7HO1/TL3z6oP74/1dkPoyBsVxi+z2QuPTGPfW0BbRI1hddceFlc6R8qh5pqJIowujzXiCC2Bz
JKcG+A7StYbttYYDe2BYZX6HQbEc58gjTs1tjD+MZCDfuulIszrwq8o/fRLD7vLUcB/EtrbfkK0Z
N6J2J14ud3lKXGe+jVlPDC8QX3XC2aL9Y+bseLBWz/+MTV37UsWt6Z7qtBgu/jr7r7bVEz8ax0Z3
CwYvwK2fgvinkVYpGUJjM+DvYWMkdk69PntqF4ewISfum1NTeEF9iAJUx+FXhvbh0e47YkFr7vBt
nCr7ZIoZavrm9x8EJm7n0c7T7AKKYX5ImARMhzqsYi5IsJdA5v2AHN94IdRJ/BTOyvYTZc4jWhRy
yLjx5m3GD+0cOmP1CXkmKNuyhd9jRySfCygNPYEwUFQO3IXmoxXl3iVfLFzZs7grr4kIs2+uP/Z3
gbGmb24Pf8CNhwBHlJnu0N+IIFriOubVRHJLRknU3jI7q0+YbIGCEY50yrMm+zNsUqIMlzB86UDS
sIdzk7sy3BYa+n5AWGMnD9U2NQ9ttj7zw3/kvV/9IJy4ZviJS6AoHPbu1hnO0HMz/itmdLfCHaJn
REvuec287uK0c1IdvDlrTrlneI9uQ2xO0Jjf8NZxH5ZiQQNYOsN1jixJeefdPWVdI/PB7BTvb0/0
cG+G6K5xp+6TjwcRTmpFkT0biWEfOYTFh5pAsjufwKx7k93sOq9rfOfy3fkpmFzjQxpOE+Z+4J7l
ZcmLrL4WCUHQPxW7HpRQMoo3IlFBhjdLeoZkW7tDYbtkrNko1LJjhsM4VaQdJRl6Ld0uKmcJhXpo
2xHNautnyU/6oJnsBRsK/ZyCPcOhSAEO0eVhkHoecP8rI7Iok3nLXgOEs9SxRFvN/BNPeVpRXMmm
VM3zNvxixvpgNiPCqQMgAvO5JRuS9kvsRRVJMRpo2WqoHZT9qNLuo9qr3R8ae2V0gRXosa9wtT2t
4zRtT7Brku6uixlv4E6VNGtz4K3z6+e8GgdyYZLIGwhqwcwvPRt953Qnw6gBNIy4XsOfJpar8Q3L
eqtCxFRQ4pHqas6XlvF7/eLObZx/Hcg8GhrsS3qRfcDMM7YsgNmitM0Hhr6L51+xP0jajGS/vMbs
eMZAfz0PMBxDLG/agkyzDPfJ9BLPOQfXAfMNKYfqFyZuesKZk6WbQuaj0jkpxCjandDabWvWCMZL
Vg0/MRwuRgiSCBK8P3+Z0NlNWDzNzJeT22r6vGJhIJprXMQM2cHdis3/TkEWZOcxn0fjCq+lqN9r
V/5qYzQueBwJs0E1JYkgwIX0ICm3MUgnq/8PPauk2ZjrLNuFxaskFIPuAu3xsyqNM9OQMJoeL8Dq
Rw56QKXW9i/aQk4ruqKYiD7/HDscft0ztRRo+azFTGpw4oz2VuXHLTT6Nbni8NXwnWqwaGxYCN4r
fFAOQfCv2mclmisMDUnyV1nnkiIGd1xKS9VIIlV/p8cxWnglZlt6kqfmLAfCinmu+ggth1BC10kJ
wdqslhAbXZCErs0ZtQpWQUoDo2dI6tcUTsizrRVxWaOHerIzkTjM0Cup4rqUm0+4WPdpMHnkHDPr
I/aJzZtbI65032tnv4sn0Yn/DJEfdPkDfTFStMPEBNhsbltCBMd0tE0Of1Qs+NDzkqvMihqr9h6G
IVnSUi8VCsbiyBxNV44u4gAGCqB1bBnYgXf2BCMDx/MCSehVq0bIYJdqzDadgXv1CFThdb4ZctO1
hHCwq5SRfGLTHQznMMPC8ScG7olgZBmHtRewenwJL+7MWclESMN7mnWsRg+CxBBsCbZ5w3jlaolu
JDFL36vWtZcF0kdgTDa2eDt6PKmYicm2N9jQhiiAbwnXoyZCr6cEMBpEdtQcphaNnEH94vCqx/QL
lmVYDYBakY3JSGpKI/lAYwqW0nvMC5eEuF+oY7Cz1LWUls5Cwob+klpLfq1m9NbUPnHRrVSD2ELy
U1wbvReyvJpRIHPu3mAAhrZULsdWsh/eVuVgOG4MTASKojlNKmk407qfsQKUvpED/BmTsLqczgG1
mbeQKKmne3oOrUV/fjtN9CiLG6VmcyjxVVteF3zB+jct4xRRhipQMyt6UKmMXzH37dpjeLLzEaJs
jdYTzo/r8i1nWzA/mTj4NuzOUZpXF6Sl0/SNri37XkuX4Zl5eWQVH8y0HLEcXpwOnL7v2tx9Tbck
Lx8zH3P3S0c/5r+ovWQg4Ix7JnZcfUgqNAeGh2iUnK3B/C+Srl46PWbUQoxJyeKqKZN31C4HNgot
dNaS5Wmf65PQxJKsm1HO67FxQNMGWaLyMeVRvOOOt9b7NgeLFf0QKaX0W+ENstHvFHVNv7S7OEKh
QH1sSlYHkns5CBoaROofqlXE1ffGxqJsJI19XFbzsLoYKmdHtR9pKyLFscHCWP4cBOzTdl2rEEZM
HNRuQz+4+zo10QzpQ90iMhqbSoL14RqzFmgfl69qMmr1IuFOucobftttItX8QJ3YBUQrNq56ceVp
b4e7Qt4BUOEvyVuXUyPFZ1J7tD7m14CBTRMVq/Oz9+BtVMi8SQZ40dpllEGS56LGQPYayECBEmdW
ezklkKu9T2orw5hYKuv0NFzNnXsFoJjYI0IvmBVvvxoIYuRc20cdMaE9sLqU2B7cS/5Ea1nlm9pM
uMuN77T5TlchmBEgozu/E+BHagbVMgE2k8ePaBt58cqKmMQDefxozYaoiR5kGDLZ1ULiidqIfegC
vO1IhCXtB769VMZkE1YcBLnBauZxqfUyqLFbns2SvOAQvrW9+tOKl/39sjLuwg20AACuqOdFkfvB
WU+92iVHbHE/+aXcCYAGZc2jJqhrE0kdUQ0ZgDxsqxQZO73WDSgfxl8+q2ss57oTKloOslkRLdRz
0yIo/bCVsE9gds/ntl0itxt/JumTo1IpKgIR7AOBfQKJe8LIjldj8mdgR4+gNaL43a0dut3Mwd2K
aexIDq57ZzxjGiPK8gb8Gbbd1epJu2IeHfnLgmOlX7H4r7h3FSaq1QA0Z7oVVSpVhxPWolDsRxgJ
2AkdCqdExXunZ2KaHuy4nZznwIuWVSkSfSdtjmVdNsOPvrTEaH90OhKBs5NnTmswXyxijrkXJtaQ
3Bk1QxdTJLUgvzh0FPByel5SPr74+5FjlL08aJVrQ0IDKiWRO89aaxopieWn4kYobyDmCLICaPZp
WAwNkXtlKrdMdXgxJfORTztST8sgUZn2TWKrAxRjGHeI5g4+B2ZyN4GzLz9t2ylx7mBuUutcMXgu
T5NBS3mCdkAG0zOZGLSmp8RJl6A46VwEreWKQnwr7M85XkdlBO12f5P1MlYvNDGsgxM/JZmxbHCC
8FEV7bfegkt1FoTBTOuJ8bnLVehKhyBv+fyzygic4Y3Ek3157XS1JBGCpV1EUI2qsx/0GffKdDu5
62oNszYCUJq4TDEgsEeRhCx9A4sul1Q5by4lQUiMnXxD8ziVg7VsCeQx23S7C2jP9IRb2Bk5Vjk4
UfZEYvp4ILFc0t1kd3SjGbm1pknoObSmCTH4lAN3rdjT7g/a8M3o8R1FrqS8TjUvp0E5wGN2XJPW
5aUosKxyngVFH+F4dY4yAlEwRzD/XSKqDbutIi9HIPqFTAJZGphxwsBvgDDJLap9DJkIMBmojnBr
W5AaG8etgNQF4gwrsSJmai+jNbUQkSdpQveTQZx3f/rlaEcYFk/CUvFSLUULP0zJZNSJOEUIr7wH
A9kFv0CLpr2+ksPqlSwg5pD56hZ2970ovN1vQJW2gDAdD1AxMkW39iwyvWa6xpaDeMg80u5miDvc
869hFDNjuGbIs3ZxeE05RlUmXxtFIgtLU75k+r5i/S3fFMgF8jVc4kG+vebMduIdoh4bD/O0dM1c
VUd1tgGlS67FChg5nwPH3GoBbdHJ8UXVa0Z3Hpj97w1Ijwvkvd72M2WHqUmW5EpIoa1uk1ZsfHvr
VCMuZv6hOtJE9JKfNuTpwD1Th7x+p8mDU9dOT5xfWmW4t1oB8TOccTGuLxflCqA3bEPpzbl46R+g
08MqRULQbJ1A0RvC1ZG7rp6xuiuxPh2y2d1HRllHorGVR47esmEiyb19NPFwg8KpROFljq2Jd1K+
khAa3OYK6cqZrftmr741O9BoHJKTHtLMYuc7jziWcTHqRqslF8FQ5B6pv7IVLUh5vthKb//raSrm
ZNL18uGb7gLedIAATgm19ThHIL8fpRAVE3qO6hUUbzTIbd2IcQZhxMeNWPCEyRYwPpCTiemYotGq
5+AMoXzoitvUhYnU8Cp2daJKbn2QR/ROfFWkLBj0n4AP5CPSHC3Is/KAtnovDYlcCN3Ew9pCvRRt
j3Iqv/yyCFcMDox85HKtlSg+VfTfDjd1Kih4m0TIYmuKHXp+0T95aBYgAE24VDTCFGMcHpHmeikK
DykHcqmrc8BXgAYY5Z7ptW2SsNQ7rbz35rpIuwh5MyVhRanD4RHKrTZC5sD9TmwhOzEdYjdZgcRR
8PuS3hpbh6kC9qrAG1gIT+MiH8bKFs2HCRBsPkWbkWsvCd30bh5sCX6E8tofldp+JGiEz5Ttmvwt
ew2jq8UpmiHrnaSpL8S4IZ6THvmlIlkrNwYCZeTmP+wVmwJtEicEwTx6oIMBsQscNzwbmlHpP6Dt
DSqDZYurwu7LOS+25H6pYlcf3WRzUmW6Sr/VpuRHUYYpYilccqr7FlSDBePv0IjiIWoTFVVF9Ts7
uFKVfuI2kgqZq52iyMepARulvImNm6VivDC+o//RzBh9LjBq29Eytdb1vTNSZ5F72w636DdO1ZoL
lBCuQ9s1aDYIjA9JXVXlU4y2un2DZk7LH7CRycer4C4za3aYTPmA6BwAsymmmgKv6I2tx3A0HYtn
rGrMbT625hJZVD2ynRF5JwlrqtRmpiBpN1r55mxhs0pbLhMLIqi/8jRF0i3LWAt6uzyZFD7nObms
iYmgZpkrjiIH+Sp9nRMymV61z4a2dYAXKvd31QqEapfXtxodhTzOU1Asnnrg72T+YIlTe3kKgRN9
9+irBEvLppb3TtokRzMiNUVUb0BEHci6ROFfqgEyFogDT2TcWB4Y8ejMItSHSNXbUon8y5Xif8MW
IK3tL50iJcIzkreodwoEmDXzPWir9RkbcSnh/qXTVUQiejFZ62takVRF809+8XwUH5HXlC5RLQcN
YRLnuGIjRUwAGtZq57xpyKVJ8iGwiSZYzEvqG/I81Pw9tZCVmTRBbgM3DwMm+UyUGpA60YMy7xh9
r02WOhTX/VPF9i1eEERU67uyxdk9PCjG6tZ1kjyr5T76dFR5MDogQZu2ZS1tinWGx7h1081qKmqV
C2q3biIRx0gk7VPve8EsJMdQO1W1yqLsF691r9ES9Ja85RpPETR1sqzsJvmq6lbJ8WdZNggVBKM3
K21npbUOtarchBdKR7AUcgsFlW0O0v+CXC4n7DlI0Zc1VygL8hdhtCblBZYXpsOCk0pcgDHpX9tH
GVrsd5ouy2RZXlDir4vZXfH2D631BEYnfbVLqES8l4rV68vmn9unDLaI3WLVgY3xqB1c+7gqXmKZ
uaHI9QoW0GxN9RIFOdA/TWnryjKjM31p8IPGXn5qUNWMd06a5ty2bGUc1P0ustG6NfDSjcv1tk4u
BV2YTMoqZlOVFCRcSSKW9iDyM81w5D/oVVmj5RcGyaEBE7Ehx7P4qGQh8Ybzln03e0NA6ah7Sc0p
V/WBtbf44widMDmnreUOxUe2O1mY47ksb3houvKRWiuDEcBQQkTDGJZHgEpW7+NpiTiHfzgg3QOV
UNYFWtvturKIbgpS6MQBupvc3DUNXb8UQYKP31sEpsvbpwnPsTLW6BU1tKvTNeDNLJwevFwDEMpF
S/PLo6VPxnMVDmj+mDvtpaiGnDXrXopzeYSpqvpC5VwzK/CwVqRL7SAwo15wzaOY636dXo0UkJeO
Mqwta7ltFrEuhE34VTluTw20/8V7Ri6G9ZzESgmsL9OfS2dSQ12CorbzD0MBu8a/prY/eSESJysZ
iRkKsFQ+eKDI43jM/WFtfyZ2I6blhIJxK55pta3y5DdEDI9feuxK3PBkI3jBTtbbNic4NzHg0HWb
gsY/STTKeupzbL0ephZSVHqNSjrx92s6jc59vdaifK1ZRv/xDMa6r6U/RtMFr92NuWZerT5wPNSp
m5jb8avZtJ14RhUXV9d44vfBonJgdAveOxy/vDMmCO4VzC8d3y8da+tS2fFqXhthztuDjSvMqRC5
DaNe2AF1QcL2C93EjcR6GFB5jydzXuB/OX063zpv8gVIDf2d9VhvdT0j8Gpy/4K5TYT7j73N4iHM
ys3sLm4fDQPDkpD8s+zilrNBFlMmjPHJIBWgXI9wc2H0HzJGgItx8Op4LhzMpMzaCZjWGngEHset
m1eoTmHeT4SSQSxzl6PISPrJDxm5UvC3U/YH/2TyGjgI6l3Te4yhGdviYKTFFEQ3nKKywT84k2Uu
22liZjW/K4Vfdd+FV8NqiabUmx9QkY7igpGvXZNEV5p3GXYUODujdnnXEKXb3Lcgnu5TVPbCePAE
Ppg/Qjbl5kdj+n4OBmqgUf9WbfCdinM6LpM7HXpo5g3IMG4Hb345M3PCefILMhTGVwdPW27t7GaW
iKTUexzc6QDW6G/ZYR4DR3zzNsorKXFbQNt0aI4CDgMrSYxHmDG2/x6SDHfm0LnRKhzyKQpmUVj9
M4TK1spz7xLpdroeKtSkuDeobdmAxMK+qsnfulBWJb5SIWRIN6YvIUg7zYEqkUQiJYFXZT9jq2gl
5cuu2NQL6vXiSdGJ1Yfkan7J7jdxOKtPsawt4JrIVGKqo2cZeeXMIW8Y70G8nhRJWR84CvJUI9IY
56d9b8Zfi8UawKQ3j6MAyob/j/UJQTH2tnmf46ntzPDd4m61EZ6LwWJ4kWWBbJE2C6bfz56UKAGN
eC9E/9uzyeJosVp2tx7thfg0NGFcv2VD4cd/ziTEI5A0J7N6GcrBxVeil9pGdbWrxp32v1Ls+myd
MxBmrzQHm2FQX74GnGTrWYAujiE2j0ayOCdsaSU+USiPnGyvShIu0obDQTZ1Vj96Y96E13UZoGbG
pk3i3rvWGpMSnS/TaNJwRo92oiee2Jp7SgrUt+98p463ryOFB5lkPkTK6YgyDLzg7AwFypDvdmnn
lnEVfZnhDvch6Pn4oL2D6mNF00PajWx/BlrKNRURZthZlhBaeWybCXfqpTK95jx2bdceIE3ZBlI2
4kifmyVqIT+tc5JTAnhhccH4qrt4w5yW12hYoSfhBxBEENdT+2NhGq353KOwOk1euzAyKss/CsSr
r5h3F3fCDscfHD5Dcwo2cz3HkRej3VlTvrQM0uEBEBHH+25q5p9TBgZ3R18nPqSgmM9VPjm3MJ+m
8zhHvIgD+LL7Z0N6cX3qCabsrulULj86F0rZIdzsOTvO/di8tUmDP8sKB+iEqjv42CFWfsAH1X3E
xMOpD9ucp+vF9qr22feW/A26ePuO3a3kKeduCihXOZ/TpjPugph9HsXoOt3ZpTWjxabJNr9Bi2ZX
KxsxfKGWT249D7/sDrEYneCUwPW8t0G//0R5sdwwY01hfXQRehVGENy8ountN0YQhfdk0+bVmH/P
uXVMGWi3h67LQMgtf/KvSUCld8gYa/n3nrdlBSKXMMkhg9n921ZXMJAS23dwS2N+B4+ixIRktRFi
2bnZPhGdwLS4Dkq7OOU0SMztWnEfVJlzyi1nfszjxPoamiL4hutQ9iNLi/EG89F5Ny8Wqyzy40vU
2Cb8pdK92XNfhMcB3H452Gbc3bDaEH9wtnEyTIiW/jAst76kCe8drd7nEeb915h+iDTqOX9fm1F1
GewhunqeuVwcXPe/2ZWdvsaZ5x+9qMgus7HFH9Ic7k4w2yWT2NFejli6tM+167ClZkY6nWDYVe3V
qYLsz0UY/0femS3HjWRb9lfS6h3ZAByj2a16iJEzKYqkMvUCo1IU5tEd49ff5WRUNRlSkzf7ra3N
0qqMIiMAOHw85+y1rc8ykMm0zQez+4va18nfUNlIANBJjKFZNXnMzBJBsVy3HTpIvJdgZxVG3lwF
aurk1uztstwMYSUoNDXTYY9MfHzMQs5imyqW5tp2ooHCkMk5zwAzX7qs8edL3FM3mMzuZ6tqi12f
RRjHQ+o/BXcXUxOpxjE6pXazj7fMS/XnoJ/jC2CvMtg27OA+jXE6frcbFXN6GwIy8iJrZLfhQcRn
oV1Pb8wJWyIy0VlgrhuIyJdcFtFqHC27dlDlX4UBYvouCwYcv/nELtD5gR8pa+ZjZZhVdGIag9ff
hzPFTO5lME4+ikKO30vo3bkBb2jK1/pP0ngPQJ2CXgrWSaAicjL6xO6J19SRJbbLTCgYnaUqp2v0
ULm6tEckJKeU5zTWKXG03Po2z/gQZOsgHAP3IUZnkfUr32K0MbfYhIzVZsI+u7w2TbuElkTFKMj+
cpPPhhcuAgkgFnrZdYohAJVEihMN+8Ez4D+s70U3j5uyinr/cjIzk0x0bZrmxTjHpHarAR3r3p7T
5aYGPeKvzNyVN2kWonHHxsBOwo4CRUrSVplJgv1kRk5X4yVBrmiD14lCMNPHrXlKNyjETdYX7vKh
neHbOmGIKlA6BOEFnyIVLK+PUAZASGbLpZLrRDxLFg8HRMUKd7AD/V9vHJ3lv/6Ln/+qG+JCcaKO
fvzXXV3y33/pz/znb95+4l+X6V9dLalMePev9k/11WP5JI//6M03c/XD3W0e1eObH7aVStX8qX/q
5tsnXBHU813ET7X+y//pL397ev6Wu7l5+uc//sLyWulvi9O6+sfhV6ff//kP2wZm8R83Ev39h1/q
B/jnP+76Lpe/PVbff1s/pn/V8rdTWfCT/Okrnh6l+uc/DN/6nR2W55hoWgIMzrWFGuWDz7+yfydd
QzzQZtvDXkSrYKq6Uwk3Yf1OoNCxQ9hOzLSBy6dkjYLh+Vc2XkbA4W3oVzh9i3/8uzEO1ikvb5HG
Ofz82krlCMjkakKHAxMPz27PC0KhOSWv0IyzMRtRopZ4Z4+5ephLqpOtsa5JsTnULav0x9BlzYOw
6g/oSUeMjJfrYilhOqB+yHHyfK+vyyxQjY1hxjtazqaYT3ToTKcWiHfVD6tXL+gXz3hUW/98LXK9
HkBC3djuEXSKpqR0DPs4BLMxcK0yjXcU3C6b96+i7/iVSub5KqiWgMh4+oUGR5IlKXFQ8iyu4gV+
uVWyHHc+i/iJzNzqDFvw8sKooy1nrU6O5en71z6i6Ohrw9hz4WnRk3zfP3qL7tjHS1Bw7cl1xdZP
nIvOWC5rs093NszlbddQZf7+JX/xAj2IIwDyAE5p6sjbFyjcCGGmWcS7MWoR2lamoHmzZe22bnL9
/qV+0bLgrLAxg7IFYSDQT/+qj4YhW6bRMAwK+pr0xo4mcxMuVXoauX5+TunYVzc3z4NlKHB398IP
nvPIl9J9bluthOMpHZsJV7y9umfg82IYrgFommhl0vjLntIZ6hWHJDgpR2xghb34qwCVy47kMUXT
ajAwMQBYsOR/ACTlQ2bqftAmv2p+wWaIO/MoNXrWpr1qE8IWiaxrYWyhWoQ7r10K9jsWGZu0b3fv
N/+vWsAHVGUDp3eYxI7NlvAwGNMC+vhuiMP6vB4i9xsgn+Ir/szufTvgAx5647oxs+oUZx+jLVnf
+yjbpu2EDfuglk+5FVnLB6PaPpJF6hcD48wiLmhqclV43OlxECQY4TB1URaNY2nhl6vJnAOKcjH2
oO4gKIK7Alj1lSBmHa+acU4QJUXzVVhTqE1FoPEF6ASfmi1tveZA7o+rqmkv2K3sZsIM0UaRIQaQ
4VyksfGtzCeBHg3c+sqY0uIENov7OZpUaH3waMc4Hx4Nt1bf9xjNcGvp92/7XO7XCdQR3i7+9PmO
Kqr+3A+zUq7YrUwmoZjE/DEhr12BuZ+Qhjkqws5oHuxVP8Ecwko9mS9LpKxq3aAv+1KW1EdsNKAu
2eIkUm/f7yHi5xHK4mX6oI60tR3Byrf3i9unO9e44eD1GdUb1WV9u64r8PMl3OfzLKmtW04RVs3k
W/WXS+YEN5ndo/UjUwooxGqjEjWdUIL7t1W8AsSq1g7cJrDTMGja9QTuw1yRGvzc1Mt4k7Zm8gkT
pChdGfXkn3PIcG/SKSxu08Jdx0W1i1MzgGmPLxfFjdI+Q+Hq3lK0FkxrS04zckUKbcelWu5zCF33
GZVMfylH9Tur77IPppCf1x9UkyYLtR/qAJPDMv96/hIUfbqxcCJKYdPhvmiIrlVB636w/vz6KgEQ
KLKocB+P3kGDYi8yQjPahsAdN6M9P1EXGXzwKD9vF3gUcHnMhQHmcq6ell5NO9hLkLlFRrG1Rg/t
e7b4f3S2KFcx8uRNOpAx7JuR6oWu+oiU94srWxbVG5qPyhoQ6Nng1ZUzqcI5tWW4Hch2wcCZ83Uy
5ssK5STnX/8eMX7yYASV/8ET2z/PtHqOoXuzg2Dn/cy3fXXhLvE4I+JutkXTJKAzTUH0IIZOPtqS
CtJV2LnGpsQgbpejhOMINJvLST2VjUvFv90gdSE6eJHk5vw9k9FFO5ZyY0fMGqu8Kro7QG4GxVS+
uMN4DONuj6DcrZFX5V9eYTjXogmzm6nPo/37I/bnAfsycVKOYQndOd+2Jr7g7dw0ZrhNQCrtyNiH
nxu3vYUbzwTvT5z+QucqEDaRZ8RK/1dNyoAjKW0Knwjh26tTL+IYKCrDbZ03/V4BD1hHBrnSymj8
fZa3w3VhlNQJzmO0MbKaFdZy891SmOJGB6dxcwoecp/YMLazCzVay4Q8x69OMFfzSAWO7brsRgzy
zOYpFqBheqK5RdpEVwQajI/mar3MvN33wex1mKuFA4PNZzv+pmOCnLWGZPD9bRvb/u3CdLLCIys9
T0plqdU8digxSFWcpmhINiTww9MJJMNN1Mn44f2XeoxaZtkIoWiAO2djzQvyj25lok5ApHnNGOny
jgW57x6HfolXnujlabBYxrWfLECRHFQureyGVT77F5bo1O0HN6JntOM2YQvsEP/3wEsedy9k+lUx
yoQbaTtC0PYpMVfzFPlBesEOjQi24wFiE/EFDqTOiWhkuLeyutg0BAQ/6Gy/6OlEzpipPARvlh0c
TYuE+iMC8zavB/DPfQw74dJjpJ5L4iybwon9vR9bjyGnz3Mc9trz91viF5Oy4I0wW3KGc7zj41Xd
InTK4LNspzCKLoF4QLctnQPH+m8d1f9n5/Dr4QloUPf02+VjI3/b9dX3R8X59/+BY3lIZ/4/n8r3
3dNTpc/hr4/h+iOHU7hl/U58ho0UJ2fWL6GP2v/7FM4sCDSRHZWvsZXMRodTeCB+J1XO1MEWk/7D
ye4/p3A3/J2tDutQyLFSIyD+ziH8qI/als9B2NTfg2mobR0DFmryhSy72YjAr297TDyDSUfPVJ9S
N2rLWCAtmktyY3gTyjGITkdqptsH0i9lc/Wq2X5xVj7e7HMvvoNtNbdhgtcmEfl2OvNdN0Ou7FuX
rR17drbFGiOBCa3S0bhXJelJ0M21jNMNZCHKWfYxpknZlxRh3p32hFarUJU5aZYAdOA+HFIRfJJG
lS6n79/nT01GPI3IAcxWyOwuXJS3tzlMph9NriguDZtD6Eo7bU6XEzHX8UvtVOnMkpzG2Z7ZN+5W
uNEk3Uayka8/IIv+6jaIxPHm8IakwY5aS8xtPU9BUVyWZP6rb50YhmTHhogdCvXLtb+jDnzyuk1X
xU14nplDoc5iXMKCb+83x5HHs2uzMWLOp/KLw5DLvRy1B4fxjJzyGJ6V4M4T68yrVa5gofRlaJ43
abzYdyoFcrQigIiXG7uMvDnNbC+iwLMy54u/fzt4yGIKTHiL6feYRzqFmH+PmfDPNHiu+tQTHmbP
PaBqpZx/Qr/v7BAE5PEE3M2ngA7zRrwi8IQClJF/qmUm5pP3b0k3wKsliep4ADYCsIIgyAWV9She
UYg5HSccHk97TxY13mUxtfT7TMUuKlMZZ34D7+5Flhb2bpn9cFVHnffq/bt43g28uQ0OR/jBc4jG
l4Pj3VGHUeC3Oraay2k0h1ClvvodNb3dhWtKfDFIKBspWnvbJOedUi2WcZ5aJ07YJM5qpohcRau8
pxDxB+WcrrmuZjAa85rYSF3b68EAAjBv7Qkfr/NY+Yb3mExTIBG8uhY0hgFwW/6INlRnWsMQZdVj
NDj8r+o5SAeb95/0uEcSo2ZX5gjCmCRfdODk7Qg13AyacTpGuwMnxqekm0ogymxy7rJk/TWK9RK3
A8UDPlAu8md9q2Cv7py0CyuD1FaneOD3b+uoG3CWQ5lBfI48IlMca8LbuyLRl859bQ+7UmUq3xkw
55ozw1pi5JNJ7F2BD+Q441A/EezboK/ij0bG0XGCGwhDn1gd4SRbMIMdNQtnJyAFrD87y2gtdQnK
rrBX5Ty73x17NIvLRHDUuelSErAr6iDUQxLnjbmSVZG5p6q0+vEilmXa7GFZF3O2KShb+HORxbR8
sHHSm/BXPVUQWsanxmHRZGfLkNFT36tzjx9QyiCjWeFIZ3jBzpI5WnjsHqW8rEpVfK5AH00fDNKf
Og3HV8LaFusOx1jvJx65KsSkS5P7XV8vZnA1mEuKcD7LDffaSeS47GiAOv48BL3TnvgdStPLtnMd
SZigjBz7g86iY/NHbcB0imkRZuqeS0pXt9GrNuBwNuajKORugSB8HdT9YG17TLvL06VE4b6nEmr4
5DVU652UlFqtvTDrP5UZGLZ1EvjLnxwII+8ppLru0paYnG4dr7DA5Xi5cFbJ2IgJ9ocPG0LEqTL+
3trEC9RBGZjXIW4dHtGytzdvza0zhrXsdiByguFTPk6ZH2H3PAlAsJOyH5bZW6broUHH/mMculpR
rBW4T+8PuJ9QXtwGo58ej+9OwExzdBuOckjkM853KaWJZ1MurE/9iF3UGod1imbwOx99a1sAn2ou
gAFn8bnrwOHcwJGapn3ZGpHzA2ChxBDjgzs7HorcGTW2xDNsgjJMV0dzQRI6nNBDr9kltjv0Z5Rr
jD7BI6DqG+q1m3JD/GwW+6JNqp7i2gTOjnKxPdsVmVP4d5Bboilel+TlPxfQgd3riUNAfk3PLuUH
vsDP9/J2NAZMWHissN30QWAe3WsPymn2VdDvGumX98rvSb7ORQdJK7Fkk5+VltVj4UjopF8t0eiu
hTdb8Ynd9K31xZ8FipUSkThGnBg87CD0JTt/tPppG0dWuXacdqkobcmowVLR4j/ms5dOZ0Qxhlv4
Lm24bdOgp8KK+q6zNK2oblkN1K9nl0QEY9kRcIzbz76gBmblNQ5X8KuaT1mZWNQHmSPdX45agtAB
SQ5ww/x3bGkWs3/pGi27nqxlTj+ZUCMyGGBd694IXl4L09tNL7SO5P79/vLLC1MkTBSILo3Txtvx
pII6LodB9DuFHfC4CV3Z7t3Qi5OdWVZtf4Z9HFSIQlpKfRDs/8U0RDSYruoTcnNcT3fkV9OQX9kq
Qg3d78pkcafPIGH8L+HUlU8LVMXwT3/2Y3ujpia3NiVL8YLkuyvyD4bLLx6f7QpRZ48gmPlTfqsW
RewYsMJ2RWq2ctf2k9WvDZdz+7pxrXhEaOrBEhB5HH+wEv3qyi7nNr0SmbT90ZJptWDhgqBRmGBb
vUe1QlRGPyRjep3K0YspTg7Qz24b6M8frUdHwR09h3LAI/EB/5A6AHG0AFDj31fTHFJYDCHM3MSe
nPT5xwrPOqgW+9A0Mmuz4IJW72JYXcVeDoZXEWLOI3lOZQGN87c7IRlbOp+NSwpb2qNtLAyRBhjY
KJkH6sq9gDPdPBVBGV60NkiMp6GbvLMlmJL+g7d/vG8i2ksOzGTXossRmYLedsGlqcwGn0S5c6nU
DDbzVAV3XWPLOwTtxOfzsW2gflFOv8Dl8Yxs+/5jHx9LeRHaK4N9AQPAZj+p7+/VEEgXK+3spZGa
i1VQShpX7bAdcj/1N0625GvLzE0Y7ERckTK1gWtc1xM+a9TiL+OZYB66HhSSqVWUt51cWbMcvN37
t/hzL9XNA6wdnwlSlcd32HdBj/4j4Q7TdJ42ee4F8x+AtI3TEBdu+QeYFJFCMB26D17Nr9qGozrV
IGSf2Vd6R33CKRO/D+el2zVibO964AvzBnCXiNYeqNJiUznV9CUPlZCAWQrvvA+96sKzYvuTWXpL
H5P/grp94YJaeLT7IQo+WLx+sasL9ZaOO2O/y/n0aPHCtXZBChK1O4XA4C+olVm3cme8JrYzZiXe
GtOw7M+UF38rZis7LdAgD2tsDZf2g6b6eSIN9VkEhx8iQEzhRzdiK1BmTVN2uzj0EoO+XMKyAKhn
G6cV5arpZh4pJCN1mMmxOYvtKNlmjhmL2/e7iqWXirdrGDtKbKM4h+recjythE02Ewg22l3v1Uu5
afNeLNtsKCJwMmE5BBsfE+dvNckCf2WYQ/QnqiMj2s1FUV1CIVqyPX2+uh9LypI/mvJ0Gxzdm0/4
FXKJHwSEs49GelKXPUT8pd2xG/HElmqy4sIwZwguphmfs7WgDE9l1b1RB3OzcQ3V2auYGgfQHmP5
1KXt/JG9ybFrGJJl5h6Luid24g7huKNboqa2hhdGc6GZEd1qlDWmiaFEaO1aIvZgUgbOvi+89Fsw
FtMlGgloOJ5ncnyv4KMGbOEUzTcwOZOXnHAWWcE0ANoDZx6UQFmau763w+iDufo4Hs99kzPyn9+0
RxD8ODpkz4vMWA8KEixeI2A8lWOZ3r9wf5hLZ/9WTZDQvisRV/ljN2ZBclMJHJj/BNKiDMiwQhsf
fND5flrTfPbhONS4lL8L8gVHUymYlcYQXpnupFnX8FMnWfScsw27DdJrOyoC76zvpWGwus/sCx+K
evGH22XsI8/d+mWNeHo3OQ5FiO/f2DPH+E3PI6DKSkuFDm+b0tKjeayC4z74DhlMl2RQI1aCEx2R
TxEP+QiDBHiOQ9kv9uqQO9Eb5o+VaY9ED14cVfrG5Z8ysyGikeVmfsXnJvekQU2rLhoQD84ZFA8H
eBlS32w6cUKZmd8pimq5VCuDCf3N+w/004oQWIIYAwum8HFBPW5opLQkLGOSbEvA1+/qtDfrc0OB
OttCcO5S9EURha/r3ofC9kHiAQzF23GMkROuUsy3FtMMGwbzqDUju5sEk0m2nxt4FeH1lMuFxgpH
Q8s1Ms5YtbGejHAcpq8QRx1/OIWlsoDtm5esuvZaMrx/js8xIzBLxJwS+Jr0E6tPtCi+T4t6CtaG
OcVmdmJSeTr1ezKNvdGc2Dlz98NUTXX2Q/iNUdzFiAHdP7OW9ThaESX1PlO44WUBN2C2c7C2So5i
0WcAbnhCr1+ETGLmCjXSYQidSKOWLIzCbUk6EL6olyu+dp07XQYjOPVDrUoby9psmx10p7YI94Am
cz4+z11OcIv5Ul8aGk7KT0HVRhLxjh/qzmRxrgKtn4YAUB8zYKvEp3CV0TGxKXNigoUiiiXCqTgz
GjoLEfzKm26hFXrjhMDFHOavfSln9cWqKTepzhyP4BKT+FDx83YCwRCB8RwMMEzrGPMm/HqZyR1n
PcJ54jHKthL6cJkYucxWbh7Rcpt+AIVbrJvck95Vh3mS/jeOd5Z7EpRlKJdT6HWLH++AmS1TcW1A
GRnFJyMUMUWsB1JS4zlgZtqV4biNq99PysnufMQ9pepuTGtg93x1uNu0pSNZu2WZfGJw2dS7brLy
OHdTv7/0HmiUaCbU4q/xFbQMd5VVrmR0Rl1t8ch0owJtD0XGxBjdNBykAXrI5mi6ixHTx/0ZwA9B
x8MCJKTpJ5GZtLn54paT2NPSc+LvFE88JHgWPBAykIzw3GuyH2GcZbyn5jD261GDoXNZ4hayiapW
D+DDT/W8DDSQj6yFWKNnt2H9YMd24d4GEgnNA24bnbqiBj3+4ZEakPcQBMfmMR0oIL6gpLvsMeLu
2j4yN60Ff6pfpWOY8C773NAXnRK8KsTaiyr/0WndFmTinOoI5tTO+m11fc5MbhWV6d57NoHXXZPO
w7jpEbz1D4g2Mm65eLnzxCF+++jjSD7jipTlbDk+NRQl5eFeGaYlo1XWL1TubqzJDxgVlNvpedpR
MYGjVRDErXcVhpBpxak9gpY22IXHwLzPTKcKVXFp12EkVpTCdxJpDwTx+nxWaA7T1RDhiX6DBRtw
1W2amiowAecNy3SB0FshBiTyh0AfsohrDPu4wxyl5sUR7MV3vWJluRtnctgPVmcN0ypVNTPQSiKD
mUjE20stvi41lgVqnTGW2PROOL3kyzprhrHszzgs8Yw7v03BkWx0bddwaxZI71it3VYrmPEvoK2B
WNAPbNPRf+a0dB4iNY5bW81NYKULXRAmn8c/Wk4aY9CUeuhwjKvCDwH3LQjqaKW08nznBEkC4g9s
TnMtf8Qr4Vl2OkwVzSmNMM9+vIwyoQb9IYgoOkRtL2E2pJ81osEIVwQbNaO6zKg6QZyVzowVphj9
0lMn6vS0Vnf01azDRf0Py4i69iSk0GH4CjzGhUOYgFEPTzJnSqPbCl4RIcMX55KiwbjuycSJ06Uf
xbEeF5PbMHfGJBLQdaS58gZ73ZSDXu3GOMDXoweqIj4hgOzSh8buzXxvtQSNAyDnRBhnSFL1nH1m
BhzCW7A6C7/B1WihdB1GuF1fRC1noHZ9eE8LQEEG2AGsAJqRBf/lgams8sHMuqk1hpdQyVryf4XT
9H/5IAn7L10epz5SdjGSGESrU01UabV1s1RUCDV9s3UAMhrfoQe2xqWFGX1e7UgbBt0nZIRFduIh
s01MaKx9jcKnX4zzXPXxkGyCIhPlCc4UTXjVEXYll4X+HrRjVxjGiBywSaP4wYk7rekGpEWg9jAk
RAQ45d85Ddqvsg20I3Y83acL4p9ytSRdV+cbe+70OBpVD+i3RVvPD1Ed65xPH/t6qQyGwJrPlQ/u
7lEAYaYbTlXfuqdxLt152EFtLcNb1TpAKlakXqjrOCFKr/MaqDU0TaB0Ve0WVMcSMu6ZWBblEUr2
2/pC9ENKMUQOveG0m4CdryyrIHKDirIOgjOoQAEDGvUZWV9Yi7ChxaqRymaZE6xFhrGpQkfiEnNY
2NhcuNOwTxohY0mYsrOSm6JFy/5tWaRerw97JYdKTKbrw1qeF5nmiVXA9fTgmmct2Wbs6wzRYfml
eE9vFA6LhB25eHKuO8vR26WXjZerPL1ewU5s+ZivPD2Jlz2F7tHKXCy9FmcQFRlR1Sj1+gkMLOV1
FSrKdFM5vh76h1WvFnYa9Wvyu1Fq/ztX51GAxRV8b+pCAw7YaPtrk1an7sd9SRIVVJPrb4bXS7OH
SOj4ytidtUFBFQQGbZkVJpsYVY74Nm3cquA9rTsvY8giqkxkfDub0VJ095kRtYa3Hs28bnfULOYQ
kDtHjozKFkkes63zsi8lPz7xwPhchRVoPcZgIM6yiJ/rc6XQF1q7CQ4UH8CHUO8HTOWS9FqbkdR7
Cutl6cv9Uvcb9jWaaZJWjmdM28HOn1N5L1cAv1U5sBZmgg7mtkwLvYC6cZnnJk7TUxNzMkR2y3sp
Wxc1+T3IIKMpHrqu15NViG+AmX1NbIBr+apdfKQgiAKxcqwxpHQXSpSsq760g465cVC6m4vawpli
L3G2o1/UAvNQ6+rgNGKCROMp2FEXNGRDl3agnuNmat3YLQTw7HGpWtFZ1xgm5jQFrHgXZCiKP3CA
CpGcMtn7oT+zhueWqhJfXz8pYAB/TQ1PtsXDYVtgpXmqvjVyDvr72RCCwQhsVOlAdcGRFLiC0tMw
vpKpvunG0XtCoSsk1NpLHGAuV2mWsOynfY2nxInCtY3Xcdh7pHZX8/co5PVDAohmR/x57FpvuO2C
NuZlDiFKIZTHhf7CqCtx0Tt3+75mEFFNYExsrSAiSdsjo86EUTvQwG2BdB0LB7PSycsUKRW3dvgK
v2SzW592DSqn9MoVUjMr5kSWDBGjTWq+xqpTysw2tcjabrisX/pzBYpW92ekfnpdeikIgRfjcVui
FOwDKCx9vhzVEHxlTuiDdImL6VP2o5NIIu0NO3y8rXQP0Y+ZFZ2Sy2bM+tw+x3pMpvjBmgDKy60h
DD/GIB0HoQd/MLrqjzABrfXkh1xvjXuH6ag9ctWm+gN+JpI1oiU58kFAAmXXDCcWhic8cVlAsmLg
sPPcZKR68i9ZYrYdFMsyXahxSdpnylQqYVLeAClZ5i9tVQuklX2XLNSmwd/DeHcztLwZcYm+kWPH
Kg/dGr0iLg7G0G/p0EFS3E/xjMD1vly6svXWsHkQCW/8PJr8cNXCwp627USSCbAuBSNzi5aWDnXD
97qELhJV2NV3UGcDrO02sZcIraSSuW9dqCEAu38bUJRjFrsQa21XXTugjIJ+jxggspjs0tj9hFNF
UKmTPJT6+masLfW2rVHrn5zCapyTCCv20tiWtt2X140cKE4+mVoVyOUs8GdVCfLxMI6g7ktwHtG6
hRDaWjtyg9HMGllldXYyUfvNvSVtRWVCugonDEu6VSmSysAfZUILDAOS7q1nvKxmAY9eds2HKZvS
OhigG/Y2RsFM7Hl6jiedE1qAnYNszh6lbFx83spItrG1VRyHys/QBBoT69a8iGHUuFCDvmR2HvBm
x77wPbXC1MAq50uFbN5buQYeaxrf37iNuQ6gkKrgC3WH9BsPFri0SaxbKepUt9fbVeyP9bFNvCxy
mcbJFms7m2ceQbz8SWXGDo6XssQLvMCBo9CHMg4gkinj5WzqdpX+LkeaVD10lcvozSoMGacbimw1
wcWLQpZ0OgqbyeX5eJKF2fO6UPCZcyhKeq0XM2ERgVxZn3RtHDFoTYwrhj7dhPhs1NOOwG+UpVeH
6YIijIoVoYcMzUTBxi/qEITWZDGT7kJCs1HpLefEaLBWXg4lFTqPlerzSucPemqn8FHvMTMwSyzA
yG8ZqcxXPjN7Mrp2pL5GsDILtYEz9LwnjUrdLId6CfAdHLNEHOgJD7CSz5qBezJPGDa9duyyq0YX
i2Sl0VTDLu+drMtPPK9J5mAfUlWmnQzMqv1EyX1r8657mo1Zg17jmlFus65azUSm+rCMY/E0MUdC
sX9ul5djDDCb2GqRbHuy2nQyGJI1GSLFzIYmlF62XpJw4VOipojrxH6ZllP2rRyQXjbOKg4J2XSG
0AU5FeBM5rPyZcqDNR6ynzksrgdSWB4YRpGusKcnogIR6dlit3nZ+VBeq+c8gXk2rWwHsZ5U1ct2
PY5KfRysydboA8WM3SP5eqFDDdakPZj2QZ9SJHwSSEtvtMzWXrp6W6RGmJyD7Ipm++tshNO47F0a
eBo39BBKpk2nVXW8qfD5jp+wNVDRZ3hpbX6ypIkRLeshMwa8XEL6T+nACmqdeQ0ou7G6E0J0efBE
mMC8a+uonb4mI4Wk0yaJeY17BxZuc2oPcTQ/NFFejuvFW8Syjxsllju2Vktr7GUdulN6NhNobtNN
l9dL/jC1sBf+pOTVqrZ4EMItJLgMeVCuYquXmMbAju7r27RsFw9ERiHS4IS4twHHPFzmOd+qenIe
odtP9qlRqTb7linbIpsAuGIPNyVsqzPwvIN3uqByGj6XZOSi6wHQPONSVpCBw73G8cU/Irwm4nDj
Sfy3Ng4lKx5nliJvtGqWGQsDpLIB5bFhmXSi9FIfzaK9aU2qqoiR0XJsHn2PNC9kUdMqLtyklcu3
w4nrsMtmG6B3PS9BgpfziiEiveA6fcKpMg4bNvA+nDsDxX7dU0CHgKvy6ZSwN/RBPeZ5Eaw893+A
P/rb7JdRNc0L4UZQUDiU7FOKL/PHlyN3Hi16q3nY5x6GhO8Oelvd4phKrzWEas0/CRuADBjmFFXE
7Oj3vltEgAoJLkWPRe8KKfM4MGnb4IAxCVbDYTuit9Zp1urZQuZLl10oQmQZtixYHjWr0jDr8swf
Fqz+NnM86SnjgM42OCBw+dBpJgZ/XpeRPsxEJkfJps0tUO9mb4EDphSAN1xrokDEmMlTbIJ+MC8V
TF0Q6K1wm7dTOuGbV09jcceQgrW6otSxM8eVdKkUOY2cuRyveIHNeBXndbBgtWOKxSR8ghjN3FJ9
OcknEYa9fGIv0WffkgBPrgfE1CbdUHazyr6pDBgTInmf2h6Emb7XOT1MF1Ofp6Bj6LonFDrV/LUB
lcP9ThpN9ZRRQpJiWC3xTuWwPpt6EoSQrufvuhlMVHAvwSOfXH6NrURFhWO2ynEw0gmBdjKZSDt2
DOyN2tTlB5yFOu8KzKpeCSbLrnhVhzmMERcQnkjkINjhpLA/QLjmbhRmK8vtjKK8wZe25YV5L+tQ
b4qS2yletvOdKfRpI5p9zQXH+Yq9qGvYDIpNw5Bwls2/F2kddKLZ61z3gRy5AyTi0e69bj+7JqWL
BE2Dxr7AoVF3PvRPNct32bOjjla2FDqg0XqNlFyMzF6NYsoXQ59t4FBEdMzpUDxIELgIiXmUM52n
BnYThiu7D/Mm3MwvMYDSrIiYIMLhEG20E+MnqrQYaB1aEDpOAzUM5pelSfEwp9Cy8a78tLFpNlh2
8XgXO1Y/3B3WVLNqnoOnI4WeADpgXszfsD8CTrIVFHPpRovnnrYeyYvw2Gy5dTNFyWQwMxsmo7zG
NGiWzZolUK+anWXPilVTOASD175hlzSGmXaWVCsJNKivtlMoIkPygR5O6/mhtJFkrN5pEIDImRy6
QyyPOCw7B6V8PewPh8V4iCRHirL3gMSuOFYGk7tJ2wGaBwN09ua934ohYJuMdQfTSSddaC4rimCI
iJ2kdqN9RC0lPFetCI0Gsb3Kh0z/XxXU3BPBvBb+HX0IfQgxIwo4eITY8PQGv0y1VUVaC/0DnCrs
oy9T3MxK1a7nl4haCrRIXNDudXNVKOJ9T+CIYpO9lzUtV05ij0O2RpoBlvHLczbjb4kM/n/kAWhd
6bvCg+rxOyVML2wBDRDQHzjIDjzrd/RNpFGp8HeRt/gkWw+yA35FQRzpX4rjfPIiPmm4g+zAsn93
bZAoaPhI0QWQZP4jO0DHEDIPapM4xAJayfB3dAe6buhVwg3ltic8krhQPJE3I4Hk96+KKmay9qhF
CfSKzMjWsNm8rWEN8sSdlP9B5v25/OH4Wtyurt1wEH0dS4KsusRLoZAEld3QuCzYpZL9crwNmLiv
RDskNmNFsk0mlLeAkm+KVFC4wAK1CWacYhwX6Equ2v3YL8m5jWXTlgEqd3Ns9P/N3pksx41kWfRX
+geQhsEBOLZAzBGkOImUuIGREoV5BhzD1/eBpO6WWFUpq1629aYqrVSpiAAcjufv3XvunrnPrlBV
CpSu5ZBnavWmlBm5oLRfAyuvqeRR8xFtVy1XJZ7S219u+M2P3/B3CAWuIlIcG30DM2oQD++FsmXk
eFnIx4MWzHc9nUKqSvRIpg2KyNKE8HMUF/4yFPYfJCfvRnzr/eOTiYZdlxiN7PXPf7l/zoS52gvL
dEPtQeam4vC86PQg/v73me/mmOvH2BxcXNaI4J8k6/vXj6mIO0oGD4z8yMQALwOZJFviASG/eaUb
+kVLd9tMZZgHnITDL7T1os9zvTw1Yzq7gG40597VlpM7Z+aeUKeeplNeWd+I2EtuJ2+hJ0QLhnTf
RFWRx9BjSM+TNNLntAW9g+OYd3hROdaZcJ3+OBA5+b/Y2f6v26cMB9HEv97Grt4mYCa/7mLf/4Wf
25h0/nJNti82IzTrvzFMsECxxdn429jg0GUKFs/Pbcwy/0JoQzoAMk0kYxzf/mcbE3/ZqMoR4GCa
wcjDDve/Z5joLioGC/4Fejh0V7p89xgwTjYSDC3NVTxytt00aASMD5loMvML6Ycmw1YNWT6NfNPW
dmHecgj85Vr9kx3gvdADgxj6YfZph6RkD4Ekv/TXJySBj0CiW60uVdfQazNV63j3IuJwdJxt8BWn
aWZnxPPZTp3mpyl03hPR5H1VBNEPfLXTIc+N//DkvtcZ8VKx+FGrxFlHMvgP38vULbunwjYu5tjn
3UYSAh4FbSJHQFzw2RW4yIXKt5ssOiUZuCkGL1YxJ6hYVZLeEGSTjYiDY809EW4GoeoP1+3dC0j3
Vgs5mkIsXCQ1slh+v26kRgizxqFLnAxNQSLrdHq8Vq3JG23Si/rblNFfPhsZppGdgmQykoHjliRR
Z/HQwtm34TOCsVTnyOwLcu1t5SU3Y6kS++YP33RVS/zy+gLtuiIZWLT4prH6eu/usFFxzNYm0zgv
hJlOR0XZFh6bNX/OjxrE9NvYKcq3qooHsgdajlgQvjv70IipT/4g7Vg/6revgqF0dbyx77Pw/sH6
VsKOn3LHGM/Ev6qe/nXR5VcjKHnbXzJYgJ8TZgBx9Id79U46h1QNx5KHaIpXNy6q9yHkJZNCB81U
j6rVsNUG8mZDjrCT6fBECb1vHha7TXVfK0Uy7StkfXowa9DE7v7+Rrx75fE1uA/YlQDCIEbG5fz7
iqFNl5PcWhPfxgwvm4MBzzenj8Yr42n/9x/1bnGuH0XeNYRbNhdqrfeLs0A2qbpybBA1pCbRmqhW
hqMo0mnxm5oI1T84g969ZRFWi/UZQP7BjV23xt9/Gcm4DrRKcyJQUpuHTf3jEhoxL77C5cT2sS05
MB5nJoriD5q/f/hoIRgqUIxyZ/kaYr0Sv9QRmgPH3mMcfHI0I532wHDpcGW16XyokoXrqoHpaPG3
D1r7h1X1/hpDlIFkxi+nAAXO9F66yhAH94BV1qeOYyFMwL7gSf+xHcUEh/7plhpAN949PbzDDE6v
/AncKR1u6++/tUtqwCmENdE+0wChRPCDvtFUA8RoRVTdW55ruJ9415ag9VJnm+Zkexe5G9rbsG7m
D5ZL/aIy4R3nes43biMczm2VPIeM37ejWY5Bi+XTr9tenXJRWE+N54yHRtecu9FzCG5rS2NrDf01
vJT4fpVi1FSIXogedNfQdMnESdfw52hvKs8Bx9MY+OZB5nyth07tImrMY2wt9jXL4bVAcry3dSB6
TF1AqduQEek2God8kQVRWo0pzy1Swr0k1uGBsBH5Iak8omijSpDBij9VpzK+tFPVbBgSQoNOyzzj
opAvy0v1o+UYLchMM/NnWKK7arDTk4Ooiejj4uMIVPpWjea0JUW03Sg6gXuimZ1D1FXxSz3039we
35Q/goAOvJXVEUJj3BTINPaeN0EL5XxLu9BGpVLGor6mXyZ8suoM8nlq49AzA/NHis3H0CBj2nSm
TPotAp6XNhvMfTjb7q60w+ohQr23XfSw3PB6NtCAohPy56aly47+6oq0y5uOs9mtLXuG8E5v3Ers
r3eq0tU3RBdTIFPbQ8KEERUiApm4t5ZlCN/lm+BIjUiuCWySRWJYxdJ6tiE+V6QZeXCCqtk+TXUP
9SoO+709O95+cGqmJqV1AuFDl100dPfBAMAN4v9WDl3fbB00WtoZ9dFygSI8PIQyiz+nqsxDsFFe
+iFjTnlvyND6gKNTPRYCdlIVK+bPNDLPjSPQbCZy9oLZE0brN4U09miQCLzMC7iZbYanbUMjOv2S
wQg3jS7vnA0a2yhFdaM1qV3cN5HG4rqesJEOpyqcv9Dvt4PJ6Qw/T+eO3m80ncmmcj8xtk0mP26L
9BCjCY38PnH7Q6W36Kr0/CvMSAJMZDfuU8pzP3Zydd24WuLD59wRHEUPEWYoqXNQferaLj/OZGlv
Fsj8vhKLu8vNhD4Wig3iANzMN81OBTCdCfqkZ06b3VBblNzggZhN3TMovqQmgorZrb469M39sY6O
Rj0X98xdnmaDQ18mkafiqiXKwZj0z0Yi98ourKCPhvoyR+CvRUL2WKXGPWaFaWvlGbM18hW3iUlA
McKdmVWHlZrpG30k2inLOmny9qaZomws6gqJ7tzdO0tYXCdNEt0gRJkvaWQ12xb//lmrHaSznavQ
iS0caxofQBTPZW0qxSHNLcLWd+e8VuQ0x9Ob9Z15UQ2Zx0R8yq8M1G/ZWcZjnn+KszDXPidqLkL+
EjnauT97bhpf1R4zwa9GmBrfGu4cVr7Sau8Ag9vOZiybvr+WeLudJ49Zf/iIXcrUMdotSZqclAPj
+ZuslELfa86dc4+CWf/aSkb3lINDu9woIaNpbyaSJHjEJhxqfxRmpeYMZe479ADFcYoF3wqQuLWd
0EroSaBNo4Ck3qk22a3j2ZgaM6aq6wa0Bjsvrcz4OHZ5KINqLvgblKUxdNbmhFAiI0JYqKZ6kJeo
1BcRdFOZZCd75hKUQYWQs71guBTq2mUnFmLbACCjV2i07CuPQ5xNdM9CGi1+iXxq4dRfRN1WsI86
ASkFo7jYdQ70Gj1gs9wIxvDDxtTGJXxbZp6Pq6LOxIvZUjie6rlbPpYeSywKUjqGzvXPdIcmCe1P
U2NwbaA/6yroNNz8i1nVVoRC1KH379cL7uoKDtlMqzfcWUbPSK0omig7DTFG0Zu+nKTzUDiyyreG
5Y3eELA6lc1gRtbS58aGSLUa3vTlW7nkMeYAE83b2cQlHh91jyj2NCg0mYwoiXTuULx1SxIp213i
OuWV04+mtSu7xrpD/Mv9vjR6OQsn0HDGEe9H0DzaNkQMBcl9YPsnxd7FLs+0drZGnZtL1kW5E2TY
lPtEr1THs6+kpW9LyWCNaTwRhvQy4qWDhG5kuvsVibGMSbs3SBuEz6rIkd668NjdvR1Bsq2SOCLr
UiiRDXvbsUbpk8Ulq4uNTi06eRNtjUePNIz2rShHbosm9Vp1G8q8lLflyH9Me46fqWy2BPMm6cUE
LDY890TJ4t1oYBAyIJ5VWIk3UehrN9VaQhvaOy45nbGGYbX1LVMUfTmySYrujmmgNGDCUrYfqriO
ko91b6KxVd28cKViMuYwXLRzyZYVDgVyvQZYxiz8DjC/cP2RQxWB4PkcMypGNau3JaI6YHhMtEPR
VGtsx7y2xFHDDemD1njxkxuR4a0lUI5zQtHUHm9Sc4zaPOyCoQkFswd7erYZgX00ZuWd6jJGgZQY
dL9yw3mkLH9qYG4c+Xnlbiw5AxHPxcAd1+kZhe+Y75pBn0O/Lqr+xhuml0ahkslbkexDmcorrS9C
hFYz68ysu6Mzhdq9jvB0v5g17xZY54EjSCml4tJva/YV2nKe+yFxFcqExHM2iL5tJBuN4bcuxnE/
9Nxh2yyq2mHN9k703IZt7UUL0tiJjUVWU7ZZlN7nd0B7843UkHwQn4dkCFFpmp9iSVyRP6BQuXLt
KM+OSCX1o4n8+5CAGD9YMJW2aQE9IInHRwP4ies7XtQFHuhmXy8ECYRTO58EmsmziaXV557kZ1Wy
qsEFk5deV8D/ofnZr2ZU53sL1DLZR8OClmAojz0AtlvmH5MvEUoe24WUibJL38RStHdNZJd+h7WG
CQlaNGOq4rsq5a/rDEBjIOgNGZRC1pdWL0tyYWFCfkjH1qNKsOyIF95iBF7bQ7u2tUF9RGDcMtBj
0sg7D/PTHFj09Em97UfjG6gkeUlnYT3ivMDAnpPtEHQ16HPf09NkNyRdr3zOVm2zjePQfswYgdg7
14sK+Vm0KKOv1TinnS/ZfDl12l1KCdjFxOPZsjT9upQtxZA5IBlZKA9Q/udDfZ/wsj5FUWISW16F
58wazaM55ZUKlBepvVVLw/Olbc6HrI9mbdNWONt9un/DaYp6GCs9CCtUhhRU/HqJCJIpsl87bvZQ
ImWbGEwq8ynBffIxIYT0FLeEn/dJaB3j9WC/EfPUHfVmotXQkq+1JZMSzFiS2GKnO3XtbBFN96iN
SH//2g+z92gbkKgDZ6h73R+YvSQ+DR6v9FvcDCWox7iiy5r2B/5iKNFAKZMclDvjxGlye2M3tEN0
InzG82vL4r1FZLcXB2bSJkMghnq4zEnbPiuZZPdGjq7L95phebJWcxHGxzzduVBLLADfmo57EFr4
GOBJTxlb89ifJDGBH3sO/Lds6DmockZXH9opzGHOj/VmmiA17Dpmvck2ShsGiRq8i4DJpTPsvGKe
riLLibpD6sXjyPVlVIW8J7PpkM9pfjZpcm+NeJlecBxAkgLoeq+GzgvQ3JUB5ENwtu1k7+EhVrsu
LJIHyHIvCBcRXSStrQIYANYTlxbkICF94OeqxHA3DDgd+BcxWWVxV54bzk17yxmiTWO5FmNQYiHV
tUd9eNMk+vjRSdyxZDsOx4+TVfbg85vskg1ZcVWXxZUGA/3L2PThlZM38gPSg36nT7N9wCOP5NYa
XQaZSXSSnkzpMWUCAkmWtpdFT1linYmFnN1CO9QEb3ywCc95kRxUpiAnB/wLD6tZbHTLKT/nyVy/
MD8b92KQX82SApOfM8hhSyaZGChXRg5XiZceRMJxrGil1myYRb8RP+6cSIaLQfEkxh6o/bKflUGM
X1t2V2aft1sABK9Dn41yN2Hjx/yvjHuHU/BGFUV84Exeb8vZfrMnjfytrjhH7hDtGqKMbvXQ1B96
zgAnnSo2gMk/XjObEySbV6YfOktPqnnqfrK7sLvWUjTzUuvjfSUyGB+ido+2rmoiuTt7axSJvskl
Az9NNBcDwgPVD0LtZho7HAAoc2Tm5ES7hDwjTWl8RiKs72rkBUccJTp4hzwJSBo6hKFjUY2p2rN2
lk1FtfCFdjIpQmYE2ZfWcmMksRqINvRCFDr9fCidMN/MzsBxFHHStiDGu9lPMP2/zKP4WIs2O2Wd
E53stILz6C13Tm653zhjVfeKc+Q1GiO92zIjzcrtKLXxLhQUyBvZDfUH8BelezUXPF04zSIJHm/S
kwRZvbQHH9CCbYHynJ2bpLS1B8iBntxLInvTQ1q6qfLxBITP1D7GRvYeSLvZKe50Szc/zW3T7auk
RosG3ZlDmWFkj3LKLUTQebvJytC+A+NOrkfm5cekMj/DHa3vADJTRzWhugH4Op7wakXs2a5xDp0Z
rSd1wn2oSxWkFUOVZDIo6WxLPjVOK4POyrUPSWo+pr1hHpx4pgmo57GDhCm/GvCl72Tbu+cGBeqm
V3Xxha0MAU6sTU/VQGgksm43P0IwnjeYmVFZocbTtrlU0/XUuvOFZzv3LSW8y9TEDpLi7JWjcXqb
cQzBMNWYtyVssI21mj+n0nR2kR5RlLFOYhoQTXYs0D9jrc2T+9Sr1TUzSL0+KHRPAd7u4lk0Wv2p
bprmWmBdCwgNaw550mgvNE7ZxBfwqaxoNztIU1t2tKwXZEtWaHxrR9EHi+vm25oUqG1OH2vbeW3i
wG1qLbSrmdtxymNn3IoKC2+fxBAnsuop7tvshgFfewftHHCnhRAj1mYiKkotu/ISajMdcfihrtXX
RGRtH6imcyoEyAmydzernxc3FT72JQ6oJe9t1h+qzC3V8AvaxLYIkjkx/FQ3biABVCf0egRbNWZ3
tkQjryZlimt6fdZtp8hH8ZfCNQ8qDs/YUwSO0CV3A041MdEBRFjs+0Qbpy0G5f4+TmX5YUBv8uLl
PQ9gsujMrURGZR9yXB0RX29o1IX3Qu/168pRphlM1ISXUpj9rk1qxTDQKJ1THeouHjZv3KOROyq9
NgiM1nTgOp1dAFo3FuFzRO/fBnrl62lSESaqqn1eicVfROo8d5luviz0YnBxk4C+od7ngsnO3bWU
rFsuwFsuvKc6yjACFcK7E4tR48JwE5Lri/xgjABqjCbr9mPTpsdItE0QQa+c/bYz5ouWQ16ljrbt
J91s+tvVA0JLxLb5Cu6ZI639UWvn6cXpunJHB7gQ28lqF05Rbv25iMb5RjazrXxNQwKFKhri44Z2
4+AT65I/5ws8yM9QjpBrLCTI7Iwy44eVbSW+eEU0vfGyVAEu/+iCSZeBNKky0rfHWdwPAnciCkm9
uuSwgdgx8ajXgSWjcZNUKkvOtIzC6BI6ElV2RufoVWeC7B4IsiyGDccu+4mp9Pgxz6x2jA0OL55W
Mmc0nL65QCYLh/5pcgw1NmiYhDIteOa9Ifu6sDZTQhLIRGk4jVezERtPJI17vl6Lp5Y37ZXeZsUb
vRJKjhrniLjJeqOZqhD9IUqeOsCGrqUn9f0M08Z0Bq5/xEciNs7Fng4MyVPOMnm8GlzKpHNjJvQ/
TTzq5VWTSebHyxzyv8wEwSBVYRC3NDxhutuqHL+R7l0vA9KiDTAEoR4irxdXeU+6yVU9kln3PJSW
SdDTOM6wh51cuhsXs1e5R9C+2lwWsj3Uw9zkNBFj0he9i4co276bTYvkNBwj5OTgrSQLbyFNy4rF
vv5+fGbjDqcvWuxlPSKX0G7Cjy0uRWv3I+pI4lAq3hKv65c7onlymnr1Ar4gwMs3t3vm4G0Mrj1a
0nMkcPzeWFpPvhhKZsyJ9AbMmP8SBoY6Kv1INmyGJAq50VHOyZAeVtf6dY4lbblZUjtM8JoVFi3N
cOHwOMxWR1B3ZXauPCEvM6cPptVx8M9WbcIZ6eVKVrSQDRamP3cV7YkabivHX7xyxc24aLW+q1xS
1W4U2R/psRnyuTjj+6D1rXsj0qiBnYbZhgqj6QlVQilFYGAoq7ZMJUKxl0Zv9ntKU5oFUUbY6nFO
AF4Rr9QSK+cLey5OOu2FYSPIEsiuxu8uWS1paw5Bigr9WEMmxYc56GA0YODm/fxtMWS7ELAL5d/5
5gJArtJgGjrWk2HE68isqlglltbyn8idEfPaem5yLu2dhcmeE4ouueTo79NzAf97QLJKafuJzTg1
b6iF0pYK2WhuyYI3XrIY9VLjF5zWWs7wVjttk4ijMU9OzUAmXGsZ3ZlBAvVqbey29hD6lqc535oO
+cjDTxF6ruQqtEPlvy4Wexa2Q2CcUVE8FS7gbhx60J/ikBLzoTPCiPbwNMvad5cxPZld7IpdG6Zs
Ugbh2hYIwaWqdk1IwPWOMnlOt2IyS9vXImchijdN+Z0g8TMai4uZxuWJ4CqDrCC3nye/i0Y7po5j
ShY4LI0Dr8DRuyyUutp2HXyJq3JB/7IGPi7mbSw6LfbHpGVAGiISo80lvR0smKLfNfrCr6bZ4Z2N
dpgI7MzV2jnLIm4m3CCEt2FPRbBLLGeEhF+kZbgZOyOLg7Gpqa3Y+KbmVCrBvyVc5UpqPmZuJ/TR
izzZIVbRIxWPUguOxnUqKr7f1tbCJXZvIiUpggbncXMMEWKgC8s0tVy0LneUXxV1r3bkU0lz6y1q
LK/HrunyDWZe7czi0rzroRXVEcm+296J1MjqF68zMJPNrpPtaWSn9YmjpjmfGYwNuIBb6ZSHHNeC
fhcjnSMeaxrtZeMBpUiv0RDbHm0FoyuvJlF6GxwfdbhbKPapYUvP8S4cjJrEl3o2kVhN/zg92b2Z
0NwVXvv0w17zQ+VLm6b3gmxaqu6LgKudbwyhmtcZheNNVHCLiFI22u6rR9h9RlFacbuHqC2w/Vi2
+eTmBc8b2kgOU+YS1V8tbvULPaLMOpAlVM07Z/IkunBC66zNzMYAq54njC1acqg/IPRjafRpPr/+
eDj71mCNSr31CD3DZh1nSEYB0B1KZWBviR2TxiDq+KU7mWlhj7ucQpGcw5ZOIkOhujS3WdqlZ0xO
JSZiy+rLTYxIdT45s9lGHyw9rJpzCicZ9+OUrsbeLq5SzpV9YkhF6vm40H8EIZpsUxauu3N7LxsC
PBLpWc0EqR1dlK7f3E4f429WZRsLnWczdBADCUFnp9FM8JsMRYrik2gHnvnEbFbyQFusGv6oyhnN
BYvFj7sxTcXGUbsiz/bmUkT70cQcvely1cvFB23a5Hu7d6v5xImd8fAKpsCvkNLbyU68BhwyfZVM
kVbaOst0x/iXzrpm1065q1Nvfmzmcr6Yc8ZQnEFEy/75Qzs6ZSV1d9qOTUQymOsUJ3tJdTgxIlnB
F31dmeFj4sZ2A4fclpoRYFvIY/bpIiSmUdAT++BNSVztJCFNvDn7PrH2U66YZ8X2BMYiIDFW4zfU
hZYVPnTRPD91hdTczajL9LBgirEPRpz36ZHjhvcRqBsp4jzB+K4jqfc8rxAH4g1is+ZVVwnH7r5L
DHtn0BL71DYyHDciS3OymL+/I36MSqcCdfG2SlLj3k6cKrriItnVbSXmkJYFw9T+sZ7j3rn+sWO6
DcSEj6pFqA3VjLCQAKO2aS3Y9i0V77Vu4MYRkMLgV8SYz9iB9TI+wD1f0qPJrTzWKhZpMA9W333F
2E4SHmykdTTv5K2zn6nDPsJKkGKjl3n3uTZcHXrSLBfAdm5Vj2YfxNPgUClzk8kknCN8BIfS7VkW
xkxs116Du1jf4NWkeZLP/aTt9ZLAhQ8anU9sblU0yOcchWF+JabM+UKboZkvndYLsUl5LaoHKiIb
RT6V73ITmtgiHtxoaHh8p0odRao56pKXkb7cIXTmD5kaOwNtEFYSQS9aGxNEVzrz6vbDYtSfLQxj
zRvvkzzjhaIj0CcGVM8X7RowmFHvR+ye+gEy5NoQ1gYTVPmGI3Q4jUGscM5/CYs2wjIM6bO6yNYu
iC1lmzKWjabLaok31UTAuL4xPAYK47lE/F5jg5bViN+tsAq1dTAlm89toexxE4Ih46FiOOAxIkg8
dCi+Qducerh141Ldd22u6lsOE3OyZx5ry4ubD6MI0tQsikMdFunnrIV9xBLFHL32sCemHAey+KRx
Tf+paLac9HrrFDE0pdkOLmB5/Fkj2fpA8rGcI4yYXZKVvLpQZbg9T3FRLNeRnqmvRjKzA2iOsUqd
JUVl/dzaZi/oBQBuuFrBFtO9rAEFb5JoYJ2VsuSm6Sl+uyOti7o+aARet0FuT9lwv+jUNAc959Rz
UIurPTJo6g7jqM91IIADpZdQ2dBeg8hR84R0R4veXJfZ5wtnVq38FIFkfEW+nTZfdOwGnAPHKXbc
3h+beKIGYGYZ65nfE2H8CkpijD+NHiEjL/YcsjZC2pveNwYsU3OYeyISj+2cJhuinbOFHjZpI1RE
JSS6qy6ikN8SoNnp9zP9LPJx1gt7gLmr9ZcSS1V5jQjVw5mB7yh7spnzs9FnOP3IR45jUME7C9iX
YHxI0fU1jhNHSZxHFYL4cm4YKeZpx4mqM+KI61rcWDATeHzdxVNEcjbhmPiDlaXLLU4LXqsVWbPd
KyEoxNAFIhoTNDtMoYYzLLW6OrRo7Ix1yJIsl6XtTfMaDokkbgZA7gxAeeR4FvqLVvXzJ4zlTUJ3
pLTHq6LpS3GnDF6OB6y67M0NJ/TsKvVGZzkplZfogWo4Dy7hh9ncJcekCyvvJg1d4V7LBbwgoxYq
FoemSG2sTz2k4vnMmWEYtnCv5/7JtbXE29IGLoZu+9PfgBizpVeYR0XYbIae1ktL57RyonxboKnQ
6g+WpnrDu9LQtMer4YhCd9gufGxS/kHstmKLfpFFrcd3G9eUizIaeyuKlt+FHTY1deuodtqrqnCs
+16A7XsqU4GPYSICc9p7BhP3myXnDn3yco/i+bte6P8F8n8KzFuFnf9aWnr/Ag/0P26St5bYgTU3
7ypphrf8Xeje+nf8VJvazl9oOMUK+2MICYoMjddP0Tx/BMpWOugWDZoHqIl+ak2F+9eKH3GB6Hto
lT0b2c/PvDyBeBWhHPBeNKrIUR3z39GaMuj8fZ2tMm+A1g4fsqqHkGv9vs6ENnBQLXktx4vVHdwx
eeIzd01XXNyE8YrABOWny0x7zOjjwI0JDJ/OSxnKnVTpPialbcvTHx/stIj93kBQMtJAQyWxFaUc
fDMpzqJYTnAE1rH7/VDlz2ObfxO1CFC8nAdHO+F1whhNi9RPpvQr5KTj6IlHZiDIVUiW2ZpDhWl7
efSM2gvWf0gjGtqEy7M7T9FrAaf/kLiLYugnJ19Z7utidG9F5mm0CbCSNmQPbzOdwR3ewlt+8LUl
yudENw8VUWubNAwpDunF+bHVgienJsrRB24QFixXy7wsB4x+WJIppJhS8g2S9JsEbwJemC5hZDef
8rp49qpiWxrhqeft5TNXOM3K3fF+mrZFn73qduvtkcRGW2WU9Y+vlXQmXY+GjpQq66BKo4+e9oEo
m5tlkdkWs/bzODvXcQSDpOuTr7jW8SPxTZBskrzqMC1Kev2x4DVwI5qQObTAdDSNWElNZn2Dm36F
55vSb39ti6igOyww59XDtaiMp6LTsJSPz8qZH7uOO5dkzuTPRfw6Lu5xkWkdQNyqYfImddCFaGqX
YpvGbb8tyvxG85anZeQ6mUSDwymxfXsYboe+vsn0pgvSmd+TeQuHKSSolOArZclAljX0JxAfczM2
u8KVn0ApBxXWiV2uHOhwyQDKbNGDSXymnvPdkTc/6CGyX6vkNSTlir5FXm+jwdS23iwo1ckjJmna
jGgriVtHT/zUYVqbGBoW5m6iPQ5dgXOh1e+wUMPysK3pRMbzVU8TFyZhKzbZqmqamZL6JaHs4EgU
uDAsTxTyc6B5Q7+lHOkeMC9PWO0s4POkgQU8zEkAK6DySxGe0laHNzSJ/RSCu0oE1WWuLN8p+uvZ
paVkw4ELyIPHcb6w2B0GBG5tbEfLIDfWO66DWWGUzws4Iaaczi5ujJMhsjvaGDeuzt2Pm/6mAFgR
pTva4c+/7F7/ROz9Tn4LmdpDa74mT9hIFm1j/fNfxJJOqVciGtxoL/Oa9kZl7+fUOQDWos4U+R9E
of+Azvz+adBP15caWvn3umM1GBzP4zDaY4OAgRN5+9Yd9lpVfiKbYwmz69HmyIh1lAXZffr7X/pe
1v7jp7KpOsjmbErkd1tdSa+IxpIZ7ZHavlq2TiyoNgcmDZV0Gdlrvt+IgqF8mF9kScAlgq6//wrv
lKnfv4Gh62zpq4GAOcXvF1tYtoBYYUT7TKkrYRaXKHaOTVMEs8i3VZj94XJ/T0j6pYhYP48MGN4X
a5wd0vR3RURp6cQihdzckArD71vkIPNjm32gGRz7LZEndLa9BwSNHrHa42MqnKu+fjUbwD9M/rOe
8VyY7Oy+BGKOrKUiGmw4N6l6lJXcDWZ2sOrmuvCa/fIVoEEZNDj83Zk2/cJ+VA7WbTlLSUnoHlEY
v6QjSryoO4do+9iNtrqM35xmwmk95M9TTt57bRkXMkjagC8OUV7127Qx4IAjrIrj8aWxvIcC/BkH
AqtFMr1ogRrFV7dpP6UYs33BK2xfDwYdL9EhQoUAk0fwbsCoPZoN26c0H7NZPpAa9TjD6/KTVl5j
OKBNK+NTSUp0Va9DW/1natP/11J/qqVYcP+6lPLf8mR5+9Wlsy7Q/zLpuH8haF5BycjzMdus1dHP
skl6f2Hvc501bRcIt/s/dRPunRWpKj3aCfb3ouq/6ybD/otqGqsDuaFr0qb8d8omPuFdcc5fQAwM
gg/+Lnwpvz/Hg0kzlpzjbt9r8VHGcpOULWfZ5d/bLjgD8DEGFaNN9hib1ir+/mVvnpeGhLRl7vaD
pp2rXt/Rzwutr9YEDEtkf/BhvE+H+PFpNjxjPmpF0777tIyfZMBl7/ayda8jAqaCpBk/JZrbBi6E
xqAV9XbiBY9H3di0sF2BwT4bYUF0RnJFXuNxognrxNkOuuQrXpmHvtMef1kf/+Rl9R6d++M7SsH+
TeHKRPjdhmaMVmhOEInY0CYGgQbBADUy55oz3Ybx/z2jw4eGKTZYr7s6Mxk4abzVAFXeYLG+6OZ0
xCzNyMnOV2RPxah+Kv5w075v4r9sut+/I2sMbiBlNZkM7yT5K9NvyRzG+JYrKGma2SeEc6dSDozU
ticYWp+w0fiSSU2wpKhlYtH7VuPuJxBxbTzY5M4Pn+O2eR7L8n6JykOFstd3GWJv//5yvqv9f3xT
jhkeKHQ8rM47J6S2poXlLlczMkWBl3HuwCeGkf+f7J3JctxIuqVfpaz3SMPkGNpu9yIQEYjgPIkS
tYGREoV5nvH0/YGZXUmCURFXVdtrVrXIZEpOBxw+/H7OdzR00eTumTvdUJAgVxmSrV5eH298flWf
HpMhc5rgUATadWF9kVurMGKvqN2EaRqtBt+R9HS8ieVnKthigN9lPOMVw5axaALvRKgHBNC4qWyd
t2O9CwVgwdw4scwudzWcn2gHJ6FGKgiJVUvHHhL8dIyyoHYru3r1M6u4rKGmb8gYyCBHmYmLiptK
1Jj46ymkTAfm8O54Tw1j8TTnX4EoaZnpT8ZFq88/fzdViDQzkySWKhcrB0KmMOo31O473APjuG1A
E7HzbPrxa1iE0qqTPOXJjwUa0ASJsiziInCATIevXQHThNos0dDoeIf9NGL2gAyRFltDSPX3oSL2
r7SvitJMLwWkGFeJu/0UTcWaSu7MLoBM0RWKS7LBdVvgZtYgQK5737zu4nw7RJP3Jc8bZUUwyoUt
q9qOXwMed9VtuPkRW08Z/Ae9kXVnQFnFZUxLcJyXXwOLMDd6iCNLxFHk9BVqBcTCF30sJRsSiPYN
tVTQIzL8HtN3wGtJX+EqxlvZ9rONrw8vekoSlWKg3/FkiWrnTlN7daPhOL7A0njiw3oLQnw/uOfX
QUyNjZESgx0f2sfXkaetxT1aXYHqBrrOBV4MLqYPHKaGO5NZK+vDuyawoVwM1pCtiyJoXTOr9H1Q
avJrG4rHttX6675F4pczsh2UnKZbp/k43yFL3Nf6l3UnVn4FiGVFl6WvQ8UPi8oHBoKo+ztXueMq
jNodi4hYI+cnyUC2fh0fdoc+MMGxiTsYeqxqi/3s6MuDIKypYgKppS8JqT+X/lQ/cMv8eryhZTXs
7XmydCOB4v+6tphTe4wkVd42lVvISbzLyglPAqooaaTSwKxF8bnZdHXyFDEOThTiDvWR1DedcArs
p3zeH18lIbmVUjRF5dZAc17x5lxyZlSePARPJ1panA7maQQl+mwJZF7VPrXkTbVoEtkr3Ckzb0Rb
4htK9HufbYY+6fgyip+//VCN2TNLEg8ueHveYb2fMxSp87I+litXbkKUT9yvAd1YhYIoZK9QLvVY
cZokPdHJA4+TRrmsMRXOP7zNj41KhOElQ9hXbuprMUnr0YXeA91T9eFUBfXQtGzg8Z+nRYEVUVts
FiCZIE4nIMNVTZJzRwhjJsgrW8DjBI64Fv2w77F1lXKdOXUa/zj+dA92FPchOymQGNxOfuyoUVqd
WdmMm4qCUCrEpYGItC6HE8/zwKAxZu4GGSI2IRjLOrFNTkDjeVnl5hMxcOqUPYZVsuZ6B/NDojyg
vrCd4x1botjncWpwqGTN5iRtGmI5bkDzTkMlla7a2OIr1XFnVuEHoc3sOyZ34zgEa5D8xd7ofXVj
qVX0ZNXFpm+MfCuMftoH4/+vVv8Y/rf/mh/aGS4czX/+UuTLc7onMPjT7tUA1G5lfsDL9uQtgVKw
Eq3xubB/wBJMUGEMpJXJ7Q10CMpzoApP7PoOvgbYI3OaC4d7qrIfviXT0yJR9ZyERR/dNejiANxd
qEZ2NXLnwz28/5u7p/kdaGiD2HEwJ31KbxoNyWcF4iI5mewztcy/cio/8Z4PdYlIRxYvjlrUhhZr
GDz7NvGmvoSYHehbvekyR0Uzt+2V8RsSzfNWOtHgpxPIW6f+btFcTLU+EZLYSUdazAtvQ/57d13A
IlynWfdciwJrZmVm4ORyC3ws+krBVq414ifYj1eJUexs3I+uZ9bPXape+jPGqjK1YReZ4evxT+DQ
t60rGis7HmcOgYuN80jao5x1benGUvRoktHRa+WViIITKJZTzSwGVdyi9jParnSNupTXsAiJc8OJ
4qGRODGLHNg+Gu87pH0cvnlS2eGEBNUNEagjUNyknXSdtMZjkw6n3vKhL/VtnaMiZcMfWLxlAtjU
QE9IG4u0PKGCiuwengy+3qvaEpeyleylONnJoZ67mGnujr+55aljHmJEbuH7n0Ow+N/HjvZDGPZy
wRBL1QwXmGF1L3U6FCdKjadaWaw8+LoGNWBn5o5orqkVgJY+VUo9sCMibV4RVCFgdPDMPnZkwGEN
2VQrXFRbl13eP0FQvVPq6MYMvHu5TAmTscESH396B5dUi/xI5jlupshN+9hqZrREGxRm4XpEQblS
NvibabwD4zbtB5PJD4W7Ixu1wkVuou09RX848QvMX9ZiY03Fh6kN0Arm/mW5OhpGb1CHlPdXKN/z
MvkqIVUjP6N3FD/9MpTxk16Evxo1yTYNsR2QdtL18V/BPvBVcla2da6P+TVASHx8BnnI8IqLrHBz
UXnuVCWvCH3vumwwVxXI2FUHeBwmYnJb9pV2lhKu5zYdRI1Qx+3COXVNMSW+rUcvcBX4k37NLXVe
d8kWSRfUZwNP2RDH+wS6ZpVxx1Xl0xUSDH8LohLlRVCfE0/3SGwgUGEM0cNgx27TgMorlSh2TYiR
jqJ18rrppX1SZtO3Ngw50/mAeDOphojLGzOkaaT6rXCHBEeb+4iY2x8tvu+DJIHRqt8UlbmHlR6g
h0IQQm6h4gR9eknuc3Ohy4hO1SnctI3/MHQonYtYOxuq4cK30CvFGOtIALW4e59Q8aFUktc6tQW0
R1PNJVKYbAkuujfCETgWese9N2nXwQDvAy50tgniPntSJltdYek7L9Oqd+sJC1FtWRcdKoHtCHvA
MQpUmqqCch5NjHIW44yZCxW/UmG+hDVpOdm4D6UoWfu1ja82r8T5fPewz3GNHB8PB5ZJUlURMsAU
klmQF9+6F2WanaIUcZs+i7Cl4OYI/OBWrsMb347u+FMnPsJDDXLg4t6GzcZ8Vvg4/kizI6kyKAsX
Yu/oFImFRy+QN54Sn1lTh/ChyU508VNJi1nTApKC9lBjb0V2/Mcm9Yp7XrwyOZtMeEClgKxK4Su6
z9FUrbosfG5Lfmh0sY1tUtymafpa5M0Fv1p26asopr0iSPaKHalrEQ7jNTcK2YuOpG/bKka9iqwE
Fs7x17K87Zk3hFy5M00wS0F/UhYT5Gil8WjbfuHWICEsszhrBwl/cxpcW1oBUdEiK8qLJryhpfqr
k6x7vepPxQwemCosCHFs/jmCzPfri+fWo8htWjNntUkdkXCf3jfCCSbTOtHbeZAtpkVkBPN8CIOK
isNiTtIIIoDmPuSuGqffjUhsOXD8qQf5lzvseWr/1MQsU9AtfWabLJ4n1QqwpxUejrhXH+u+qp0g
y0jTCvCmReFq3v0YvnZr1qI+0blDS50xLzmywJSkfVp00COSCyDn2NzCs5hI36TwHhDn3oxBdiNy
EhKzqLs8PnzmEf2pt4JBPB8nqBkt3hxmBWuSG4XexqIigHS6L0W6MUOSXjAon2js0KPlIoF68Hzb
8am60Y5kFwxEX7qJMG4kIPaYOFMn1ozzwiRiSzfvtdK4Bzh/4u730IPl9mKOf1VMNkSLUSN6A0i/
jrywA+ut1BsEt0BCyd7ARaDgGJr1CXH89fiTfTuRLh4tRUrIYuDXKJHJ80fzrlQZd/DEBQub2012
vNelGo8bxzW9Fi9aPPgkKI/GyhrSl9BodpSX1lkcnyuj0TkSKgSHAJdyQ1E13fr9ODl+pQkL5q4m
NlLOdF9FP3S9oBYo1YBfcBlmhiZIMK3uzVi84PF4MqEaEPSgfNHiVqwgCF9NZgx/Gjr2yppRL5qK
xTOqfWqN1jl1mm6FcTdYR3YcbKq6JHrGrNTtrC9Zd2F5f/zxqPN39OnxUErjEGmTG64vvjOR6EZB
WHSOqT5lM2VK+kqdD2BFLa9wTYgzfUTKjgHrbJx3BwFBd99JqtmCwp3u5UBfN21Qb8w83YspjzaK
CRunl0rEmaH+ZFhRuo780N7mc1DN8V/9wMIEXwrRGiw89E764sU2Pqle0N1ZJQyCpMnhm1ZQaxXs
AoN/YRW81RZb7olv58ChkVRCau6sh4bB7f7iLJYkg+AmWOTubOfbthikHTWhAlGwLlMCwQATTmnq
kNvjbYskVPDicLKIogxLuqd9QeT7MvTNI0GhyGPk6TYqoNkNZVJu5ByG0fFHdGBVmjcJmgaFxAS+
tvzkyLzxS7PVMxfgDsEM0YOWeQ2CY+68S/T087/m14R2oIBU4SKmTHe92iun9rCfxpgC5JgbTB4a
V1XLGXWIcA55Vp+50hifJ6N8JcvgTWoiJAOk+qN90YdsYa361DHz8/lBY1VGvUaRU4fDuUyVFdUQ
klcVYgRsixCCgu0WwQTvorFAXr9UEKQYpXhTW4xfJ/r8aS1eNL04upTI3INUTlgi8QaTprEfc+4P
iu7EGz7RzLIkbnVqEphlzEdgd+BZCalratA8p+pNnxb8uTfwIU3m0ZmFOP/83STqE3XbaqQpuf2g
V3sPetB5ouinIh8Pvy/VQqkz41JZJz42o04WMnoysbmniLEj6PeBoV8ZYfDS2fZN66Mi4VLrvCQc
TG2tzYlvZV5+PsyEcx9n3SQJt+w7tcV8UuDX4DDg03ghnc1qktaLfo4kaq1wzZcNxBHScByreiB4
bn+i7U/nzEXbi45HkhQGgU/bPqoQYSebyphvajn0jRiju+6h1KNvgyU9DHVxAZ7td6fSuXkdzLLG
aRclwWIR8DNzmDCeZW5nvQSjCljbP+/La5IqdqZun2hs7sun5/yusUVNZMLpwQHazNyUXI/OUleo
6Na9UKlaJ/9hU4th6xH5QqCjlbn459F/wwtl9lO6O5Wi/PE3eLhTguDVmaNKzefjyIWeUJSGwgfS
wuPfFAa2N66KBo6y03gFIbj7d3rGVTOFJfDT5rIkmHIjiVSQno121W6Bb/krXK3F1qtSdd0OWnJi
hB7s37v2FiPE7OOuVVNeGulXN6bSX0LW25cWaaNqs/s3HiXzDPI0dsSf7lFgi6gKyWpEIiMUXhWW
fmXXuVMlKRj/+NRl+qc96Tzy3xR6SFEA8S/eWw2rz7PtuV8jGi7DADWDNa21m01dTvsoQY8gaV+O
d/DzqszNPfVA4+0KHY304gvQK1mSG29+eW04W3alde0FL00JY98v9pKeXpQBxj9/jhpqzPukq04c
rg6sGh9+gcV30SKH7uWB770Mkd0kxk7nhiKx+rvjHT2wajBkOMFRsubyYKk/TEpjgj/Fw60x2p6x
Ny9XftyeGpoIrj7PKBQJEajPieCkIC9mT6zSTNtAxF1Dlb6Hoeyhwk2NLTsCDGzZpu7l4HYsBgLT
tfHHWERc3lLyW8dqqFH8ku9jqfxl5UW5Ci21QysaVfumpb6WlMU93ABja04VDsr6vMy1y2hQb1Ec
56soNEDZKkG3xYgiIR8EVtgSveewxye+VS2+UJ+qL0aw3EAR8LT6Vaafe2QWzJIXAG8GCdqZ03qM
cy7L7Qo9YkxsXJdav/JO9ncwZMRF3oW7LpNuulZLz2NaWhMHiiq8l8+UVrPgRGnEisfNtpujwKZM
2vSdHe+6SlHdzKT3cTr9LJpYv4KU9c2nvrUeuPPFCOWvzLTpXEuXvmhRklzwkr6LxBjuG07HTg6P
aqVqxQTej9RnTE8mWVp5toIgWO77TsIQJTW5o+KKbqdhlxdJsrJTVJV4s8rbINIttwVwfq3rqULw
j4KM0kBjoQtOTYbSrP1AEGPnyU9F3T70kiettEy9Nj1lH8MkLLjbU8W2wqWN3kA1n4KZXEjUfX2R
mlpDwU8aL8dY7tdBPHm3sJ06h5zI6ozLcsshPlCCmiQT7DAXD/sgjl9B3IBoVcfiSq7Yes6e0REP
LJ6cRhCloUYXlgBNKaf6vpIDsdGNRt73mX+Bvpu7nzTp9+EMVMw05V4b/Wcv7aNV1N+HitafgQRK
V11R5U5jxT8yPSmuuql64Zg90W17rVE/X9n61Liahrexl/Ndj7YAxt6QsgYSOToLfXYg8qE4Rsqu
g0dqY/BwDHvUwB5FYs21sbaDIoxlc+Ld9R4mipCogdXU5uLbWJA3T/5p1J4jzhkqyFzeNokaGEeR
mvewfIKzvgrrLwoiF0TnJcFKZqq6Suoba3PS8zO9rQdynXysWFFZbSI//5ZbOLiwbsUo6/v+FnKh
x+lQa/dS7V0W+Am/9pIvznzVj28qr9AkcrEic1XbUGpG3bswLElfe7reA2erIjfjwdcbTLW9tu1A
gpa7blCkSwPWeEX5uIIbpngjrsUAS4EfbCE01bdtBq0Ut0XM5GzEDt6ywaGemxG9WBTnKVcVe1K0
N6KuIzfKc4M/nj+aOOuUtM+fRWvkey8Sd5yjAduYbH1WMBztfdkZzXOgFdgMVGrYq2ys+1cRBCr4
Hr3vyjNbLXtrLUFhBsTYPoSjsjMpWGDeDZzGGzaF1ANdsJttghP1bFDFkxkMynkpK+juigTQnWlO
14gCK6f3JQABvJNJazkhlzX0baXlxIZSGOx/NrvdEoXIu1Uk9f2F6vvPjdwbOOFZX1NNRNoa0/OE
jBp5mesT6XADeka+MlNSjguN1ORVQR6t72jppBK9k1P2tPxqAppZI1Hy/VJ1JbPtI6eoBlOGL5gX
15KUdZdmandntcI3s1Ui4l9SQ6rvw1FS9jroFAgtqR7+gMhxbQZW7UxdbWzyDkxlJ3vyrdRxZ7zq
c2ayEZv/hRf1+66vr8ia6WEAZT9FCzPXKYIQ91xpT5UjhYKapJd4xl6phQ95KK76K5GJu1gDddNw
grapwpzHcUD6a+Hp61IaHDnWryFz3yBVvO0VfRt4xdeiin5WYyGtiHo9F0lyZfkyudX9mT4V48rE
Nbw2zSBw2kr5CgSLsoyMBKO1IirJeJhHZDbuVOfnlpHcTjLUAyusss0Ek3LN+eMbeoR6bWRGs41l
5aspWDFglRbO6Gs3xPcRoYm1wB2C5oaa3U+AAd5qqMd+3fUAVQO9d1hyHtWEf2035i8aagGeeZdN
2Z17Rfgla/V1r33tmgklZtV+rY30ayBzJsc5xCFZLmAdN/dE411KaRav4gaTbWhueklH9FTedY3+
AsQwXPVGvwHcwaV0uPN5Mspo30qNxyf2aLdVvZIMeYOVbGtZ7WUGesq0QD4odk9cLrWo9VhSSDWq
4MLLhOM16WvU8QDtxyC3nbKwv2RZuKXWvcfT/YtUCjdK60s/Cc4D0W4Gq32Vk+wLgngi95T+bIrV
uVjKLt5ANBZp96YinbP6OwqH0jEULsXzK81/UoYm4TMPvnYFYcixqToMzNLp4+wGz/bONpgLBj/J
7iSFLz2e0ketG1c9yXuKyK+5K3aMrhGzf+ZH0Hkds6t/pSvpWg+VJ0mvb3Vop3vmmRW44e98U9/j
bnRMk2y2QclebAp+fpCey1Vlub59Z3hQ3JTBek7z+LJJjUvAg4kTdQzHvpJ2Y6KfNZ6AqMi/GDQv
v4n8IFmXuiAiEyptLADfsiGBXdVA6RyNxtGtydXL+i7Ohtd+rLuzkrt7jEh17xuDGxiY4L+NwdCF
tyLVIfjcerk5BBs0kpCowng6o4L56/g27NCxeha2kxdGkgQbv0XNyhs8fMMjlbJIrS5IKkMPiM7P
elL761GVr1HjPvp6v2ut8NSZ+lONjvI5QwRHvEAqw63Vx2NRCYVJYhjBoqoBKwbWDsCOE0v3edJf
2Z5xQ1rB3pO5Ua3BH8fGK/mWZ2Nl3jaKeT7Vz3IirZtTioDPm19UugbDjaLQfLxYbPl7PZd832oz
1/c6p4exNKWZI6EGPf7UP29KFToNJh0tHyy1pVIqJn/V9vAOM/BBooUAPCVmiemuI7NNJqM7B1J5
vMXPHZNRzxAZolLqQisy//xdkUaXgxJtMNWTXhh7C4Amm+1Lkt7Xx5s5cBScb7uw8HADqWnLCmgQ
hfIcqZu7Xd2ekSLhpoGEGrLayqV6okeHRi5tUd2VlfkayFxU0fTc6KOGfGLXTHM2AN7WGJ/V7HFO
r3aIbeNSSNPXI6VlkJsn2p7/6kWZ4n3TSyEm6c4Ejzc8zTEZz/2Q+wPglCz9xb4HmYtpEvhsYJ6B
e/79o/aHhhffDMnIUpXiw3c1z36A2rIVWbFt8dqrQ3N2/FUeGjGUEDB9KByfEOV/HDHDJOKhyCg7
SRlHTU255YiCOam9Pt7MgVlACEVRsfxpvMflFYyv5ooxcb3vtn27MuyvaoJ9v9V25BZuYsn8bX28
Rs1bzJY3HLhUvxcfOFxQUy2Shu9grM8MuTtL807aVVb8MlUFJUQeL2xQ7YtfBmcGMODjnT3wTGmU
m2sLSzW/hfrxmcZBEuOhz3l9U8qNQDMCZzcxcFatop/4Ej9PMTLeo7lepyIJYKb92NRYkDMzVGXu
Bt0kzgtBiEuaqh2XD324iwUirqkGJQOhwDhxbXTgZP+uZTyGH1supIy5waSTZm3t59tDz9Ld48/x
wDQz14B4jTbzNNasj034E7xomOs5wQDNeWbsLHzUHCeAYJ9o6MDonG3v1O1QtBJDNPf13bSZGnYV
QJrIXSuuvqnlXTXGP4kL3JS1f27Wxomv+9DwwAJLFR2XCHeSi697kqyhAtDEkwMSVzXGtgJyOtt5
jz+9Ay9oPh+qaMhJJ+Fi+WOnqjCZQMHxySFJ+F7N0kSh3/4bTXAlQLEedxYVrY9NDLjW5QJXsjuE
46UBpn2lNtbDf9bGPEjevRtfHTIjsJmgoEQ5XDuumvjUpcOBF0IYDhOgQMzAmrb4XlG99AXljMxt
bBmjafizI3I8kH9f2M9WiHg7Kh0cVNEMLx5XN1gwWw3ayczpsUujl07DbI5qfHP8kR3uz9/tLB6Z
qftdKQpqe0h1JLit3bq3rIeSiv7xdg6OsHf9mT+rd69G6kcNDR79weJ3S8rYrZQGp64KDrZBdtCb
n8oWS8tAOxqVYQNm5vjqbVpP3ZVkzv8b3UDXRJiWZTLZLGqxhTVaA7IECsCNdBY12UXXnQoIOjCT
UWpE1IGNUNCXxWQpdzbqRJtyL6jUX7rXAvINXkqQF5N96jr/4AMzuZ9jW6uROTf//N1LUSoPkl0p
MneYM75nAECE9fv4EzvUHdQxGqlDPDdz6fJW7DwmE97IXHRIV7aUkwBsdVsd7icxAycK1Yf6M2/+
sNQBNTLN5cdJ8Jqwc5m2Gvl2mtMHTs0whz4XHXsI5JtZ3fppm6dUAHdEx8sZ04v5VDn74lMzPKF9
OdQMEhQb/YsKa2V5EZ8gILF8wrVdzYTkkQ+UKDn1AAA5/m7UA7tWlkuT3Tm3Jwpa+o8DYKIWTpQk
A4Ai9HU+Uk0MtqpiwhUu12YhtlKEAs02100l9oJyjuKr8JeeYoNgeENZhWXmxD9SCBK2mFZ6mYKD
tN04L9bsh8+yXr+HH7yRoBtXWrtStCuQSicWyAPL8YceLNb9OqhRAtha5pI1SnX5pdFVN5LzS1Wv
NrpanVgnD7YmkLJhqOT9LM9Mvt3KoQlpzwVmD9T9Gjg+2cEA3PNfIekix9/OoUHATuOfjS2m5nTA
vmeFNCYH1Got+J2tuTKNr8dbOdylOW2OjSEqysUOg3CmpragzLuDGFd8MM4gB3CTLxARO7lhnpg/
D/fp79YWX2jXUXMucloj435raqMrpMdAPbHdPNwIOg7oEqyeM+7o/bTmdWaZpAUyFksaN1J2K9vk
rlflia4cmtjYsf+zlfnBvps8k47sdNNQuZaLvJVsn09vQIpho+j/YXcWQ7xAHN2NGg11Wr620h+J
+iRK9cRgOzgMUCoRqssJmv3mx96w1lld2irzPqB2pf6XZpRuDrmRcpdDqsqJQ9fBZ/d3a0svDdqF
sK17WvP1ejP49prg+dXI5X7Q/rb4dK4pzaspMhHuFZeDwSjlQpONkcEgqw5WhG1qmSee3cHx9q6J
xUioW+CVnTQwEkx1TVXZytt1AKrt+Id68Jlh2GXzyeKGxv/jG+I+J/S43cg4p16KQMa5kW8KmVPx
KRPk4YaIb2Ppge2wPOb7+mhmhskq2nDlNphkHyiN06gQTNKH3+0StTWSbNkccN/7qQSVqcWcu8JW
ZyYLaVq5r2tuSMr2OuLgfbypzysdTWEXQyquvTl1Pz69Ti0CpcXy5nqSuYWe/oj8wQ2U4EqKAzfV
LriuzaLmRKOfBwaNUmODJoRQF63Mx0bjyU5IKp3YLcTTRja/2nlyldb9ieH3+dOlFXB8nBPZN3Io
+diKDRx1MlPeVx9NGywlXACmEMW+hp1KVcE48c4O9oljMxVRHMGflOslpjKypvieGilegwtzE4n7
Qhj+x9/XgWYUKnl8sNQOKdAsOsUtJLDRaEzZaKkOO+4Ler4q2+zERDT/NR/LdtTbuTsDSTq7B5ZH
BtLPJDCeVur6tRwT3Ae38YH0kuiUSvxQd/CTmbaJ2H5O+P74jvysS8LGhmOR5vq9Loq10osbzC2/
vQGe5fUaXgjO8ehTFnOEMsWJlphaioI0rhxLoJEMJXFiPTow3kBjArBB1ooefCmTbKyoK4ZmSl3V
HjdCzS9S2b7oxnKjwmAhyPXl+Eg41dyiTxyte49729Qt+3HLlcS1pZLzwi2ATd5JlddP/0ZzEEfg
91CsRiTy8U1lQS6rQN1proD0ZNmuJyY3IHoqCS1QXPWJj/fAvITkhRnQwBnB+XgxMOBmBsQHpKkL
Znk1KERsTCXhZcAMxRUcWQj45m5mwR7v5Ocp/o0x9s9W1Y+dbA3iRMc8S13UCE4RTqjcIM3V8HJT
488P+X/oUqfoUvNc8q/xUg9VmIU/n3++UTof8pdn/0MiPEvVP2FThgw3ipshixop6ZVvgqW/YFOG
8sdMnGB3wwkbfNQ8Tf5F6VSUP2Z5Exd5VJAgMc3S9L8onYr8B1UW4DYKOx8GAuyB30iEX06h9psF
Zf6LIEJxb7eYqTkr+wMpbkDa+r51u67WNv0wnBJIW9rHmZpZjcWAwiG+Sk5f8Dw+DtmKhD6JVFrP
kbzIewi1Nhg2JKcLtCt9FTzFgS5JqzGUSmMtj9GgbHCbxfJKaYbhehTk/2xJKgyBABRyV88pugZR
H2RcQHA0mtCBgawOFwXKzOu0K8dkM1nWzGXxmrNe0qTY9Ye0eSS3IDC3Kug6ATkYdZBTJ0r9NImi
uqlG3ffPa7JKzZUnRu02CVu1XLVJW4GBRplTrYQiIfavZT8Sey9prHYfmWV3E2k1aqiKWfWqI4LD
2ACGsCV3MMjVddBhZRdk58SkyWUZxBly8jgP2jrdc+Tenn71Zg+sSUWCcw0/KnwMZQU+OSmL7WOp
Ik+BjTWnN+rc2ly0iRlp+xG65F4Fa3029rBJoUGqJCAUk0CTlpYJ6hkrlC0BnTPoBkcQRqA7Hb1Z
dYqePaSTNUlrkrHhf2otaUslgQ+3hS71XMpOCUmc5D0S5zjonCb1htx2CgVx2jm6FKtXhKGoL7Fv
EU2UGoP1891HdPPnyv2PrE1vMFs29f/5X4vBCLHJpO7H1R/OARxZS1V2nBIPb44V8S1Tbe/qYVLB
ogbt9ngry4vGP5uB0CQMbsNURV3s+EcIs43d1qBu6qzfx6F5V3eKus4bvT5/M/CFnuedc7naOny2
0cXgES94/HdYTOFvv8IMQJiXYtTnbzCyd8dPjtHeYKeFxEIR1JfJUGm7sObeeNKDYtOGhro+3t5i
B/PWHpMMz5dPkUllcQptdG2IdTmSnAJHOsQf0axJaSJPKzMV93hTbzXBd7uyuS3O1fNGRjDMqBx+
/NbLIvDC2oo80PxZKLkk9dTfpLFjBzjCVEcFo2UEY0h5JNB5ifom92X5tc/TkKyoJNIuhikOKGRk
eXdddvzeGMLtBhOXhgG1weTIDbvms3so+HxAvhqRRa7ulJ+jgIpvA3ItLwmD+EtF+1sL4WX4gx1J
/qv5r/mP/cjJ4An9oHmbff/+p+vutWpaCM6Xz0X9j22b/Xxuwjxb/pkPf0X9f99+DI9k/dw8f/gH
VL9hM962r9V49wqt8s/m/vov/7s//Mfr299yYtGbK67/es3bJP+4f06655959Z6rOP+hv7mKbx8u
szy0EugtjPq/ljpb/oMrYUy+GErmE9x7sKL+hz5bumz+EDVmziZ/L3XaH/MCh9D+zZCCl+g3VjqG
38dFCDGMil0CELNgcuHedrHWmfo0jBypxDbqvIeWytN9PEj5s1oZ064RJEgT5iaaTWsTT7SqidTR
nK6b6cJKWt00hEc4Rmgl6gq4MLHdtSpByc+IKXrKlRoCvAH5FHiyP1z7lukFjoxdFWNyM6zJUcy+
KCIJvxM1mN3Vhjah+Ia+f4syF+udrcTnRU50oun7KE+FOhirdMCBZ3Lhu05z03ypGjtaq2JOucn4
lqKNVxHE2M6iBWoJsvY1CCXNXAkRj9+yqCaTA/6wfBl4NY7Eckql26gam9tUScXPIsxKfW1PgVqs
2roEakPmqQ6XryPODENi7aNcnJJ8pyWq4LqXfpjrRISmvWNphi9YpqpRrBS8Xk9Vbk4Xg6rE25Lb
g+9hw07IaaQEagKxKYQvERNP1BqJis9xKsYzL0nn1Mas/662o0fIaK3l/H1kX2DAI2fKKn6S9DJx
WaaNUNXiYtYQ8wJS/GN+c52oWkXXB+1SodIZbfBvymc4rdysb86ymPzdybB+yb5oHnyiV6JVQ3l5
3RGBQdTpoMJ3QyExhztL0VVWpDc6tpef+BUH5L2VEU2UAvOuAUpZg7UWUiJ/8QGleJTT2/w5H2oZ
eWZnB7smA+whj823IS6LVaRn0i5J42LVFDBhm7qv1l6kPqV6Q+A15kVpFQnpyhMzWIG8Iv+Xp1kC
wssYAexTvsRKRRhHI19WXksQYmXr37sq+I4ykqQdwgTMVdQAtyWRPvBXXQI0s+xxfpRm6GphcQav
hqxjtOaX3GtdjkZ75c8GSTNOya1JraHmoVDF5z4EqFkqJeOtV8rGJfkX5mqWrT9QgIh/iAamhxj7
NHQF+UYNA8iyvk6Toq0DJVJWQzE+TEHub3GhFbtGazzCYjILzoNGIAMc8XrY+FWjBasoEKi5k+i+
w9TsDmxFyCWCcG41c9hB9svokZFKg9pt/FqSXoWC/XSo2+cqi6KV3DbfenW8TXK8tcSMcFehdO1F
gG8xj4j5UoP2uzGkxcqj1+tM0V5ImkwdPTCAdau4Ks3a3LRl0s/7OEsCsN6Oe3hgEPqCot5mdl2t
e/TtQ2Pf1l7Mfx8p2UNc2q+1wmAnhjTdtHl1U4gmXueFUq7ymnEqKZI/wfwBsjc1VFpJFjf1jjBL
SdoUujLs+tgPv5PFJ3+rdHXa+mrfqwTXFpkbG2pM9pV6m8tx7hSk/5DMqYQbdZD760aHEpqkxiNs
8ITY0kF74W7MEGzWau1bRcogA8irWoikVlw4ZRbZJLePhu2kqnJTtYKvKZZ0xupIWpPIMRpLIIwa
+JBEGCKUr4yxI11VUs98wKqb2NOTVUS6FpIq1b4zvbZamUQSb9gA204oVf+PvDNprhs51/RfcfQe
CszDohcN4EycKU6SNghRooDEmEBi/vX9gHbZElVVutr17euocNlRJR4QB8j88h2DkElY7ZvEoNV9
KlyEbFmtgkdz9owLDastCxDFXjtqCH0rtgghvLexAjjx2go/vdIJid/bC6duzRKWombOe2/LtQac
8ZL+ZnYy5NZtq56Q1yZ380Jf6g12RjS3BlrjTBPPtB0i1dOX4iyYpvmmLHP3DomGQ9XhZM83hcho
bkoNNNqrUs1dKoPkvh+99WgXfUDAbK/iwvYIrNAp8M1ZNfZIzURULbP2fhr7gjF3RjyDgTZ3Eccj
nauXOsAxns/X4zQbF81cyoW86TmI+Mc1sVvofUPJqBKuzpycOYY33yx5ju0r75rxxRm2NwyzHvUO
JMJHwVwn34bAl8VNQinfU8fIxRvsSveubj1lXJReT3bPd3vxn4zOxs+bm8UOyxnTQSBkeNsu+j2h
QdW7WBwxOvsxI0MzpRindSkk6YuzSphn7tatVdQFumk/3QmPpDJZDDi7cTg27VNRM0+5/qpu/v6q
3s6CbLmc+wC9GeqRvxAD9eNVWTl0bIYieD9omUUja0JxzPS4NpMbStFaWGrWe2NFRDzUXywexrAt
G4VdRLsvBJV9HO7CpMmHiI7UkErFILadqgqpZ7m38IhFqxq+Ib+iqlzlZ9vD8/eX/xr5890o+3r5
xnZA3zBgQHtmne9vqtt5SqaJzeUPYKYBGjJkZpcpZoPXloYtLMINmpuyVXMoTXGgSsk+OflMKVG7
Iz7skI5JdWQc/wUt/xOqxm3dVHyb6sd1PBKnf7guWwMz6CEf914p+whZ32OZVVbYO8YQpmD+Vj8e
X2/Fb82/903FX28H2R9G4f/aiHx4aa4+Vy/q7Y/6f3AmJl7xu2dmm87/NUtvv8D//l9hU38W3cv3
A/Hrn/jXROz672hYQWuCdZP/wRv674mYf0TqCJAhHM2WkbEhPH+AP+Y7/s0NPDcxKZIS8t1EbL6D
k/BwLKPEohOVGfZ3RuLtOfn++YY2thCnoVUCMeXD3uCXoPO5TpqNEcuqN54yt2yimR2JhS7vVma3
2W93iAPoey7bR6Ak/a6jMu+khOufOwGTj62vHxJcRlFHCesQ6YZKvjRKN7IQWmOqdlNJUNbkWNme
stoJGGKl06jW+y+2WbgPw5CSJTl1c/CxKGv/MmVgedFEmpdkW/vtaWZia8K58N3LaXHdPZFnEI1D
le25MaAzE+XeH1lR17vvvsM/WUz/7LZwcgXwR+xGJs2bE2xXpqvhJKYRq7GlQs6DuS3rUWI8sloM
C3VzUis9c+x61T8Pz7/1mv3X3qH/vsdMHrK/PmX+n254/vz968S//cfLFLzjZSBDHkUd2CgQw79f
Jg9MFAUElVY80K9i4O9fJiJ2OVlSakRu+qt7+g8k1XxHuBbL+pZJT0iN9Vvny+2tfPMy4XlwyRQw
XX6a9VZeovl5v3ha4VFIaVS3js7whHQ8PfL4O9mJktiK1FJR3Q/0H54ZVKKtBxK860hqa3EvlBzP
KOfbYmb0XWsz9lBZ1BrXUjCtxQb7/lnXQDlRdeu9Nye/vht95Td70+2S8PfX+v/vH8Lt6fnrx/DY
1F+H7rP64Unc/sgfUAfIBKHvuD58/obEFyzhPxUSFLxA8WOYeNO9ZVA8QbGAjYAb8amPHOA/UIf5
bnsM0QrzPG6P628t7D8PLmwfqGdAGLk+GMs3PBiCwaHMCpbMeZmWHUfp0MZ6d97r+a2lKXyPRAEO
iUvmuc8Bq31KptY9W9PKPI04EnaUDCPqqKx9ZYj3393HP1lbXwnG7/ccnnbAIaIMaE11Cap5g74K
T01mb4/pYZ2M5GOZ1IkeaVWR8iJYFtW6k0rnnUcG14nDll5eSLzrG1AospOeaMvdKmiBaa1B3WvZ
qLZkP2XT/Gs0R2lM6w3FpgbZK2kmbvJm7eUG5NicgJrKJPUp1/t4aJLkBcYlwPiadUA9SZFwtLEJ
O/n7X/U1g+3Nr7pR+mSowBljjd9m9u9QXpV1FibbOdln5Arez/XQT/skmTMckwYOazEIHMXaevI1
QqI6bRAfK0dqY6iWjH4zcvfFJYXf+bXAlnbwk8D/iunOiNg1d7+40p9ODxY8OhTmltXF397qyDK/
NUc9ENkhn9b5Jq+86sF3gl2Hy+gM3G66HrvFf5gzKmvXbrSv10D6p3z1kGY1fTpEyUD/RZ804txd
l2n/i6vbntYf7iMXhPYDPSUuK5QLb+6j28xu6c9Ez0lCju6avp05rOh+NBlldQQ3Hh85Ll7bnEUx
uALYOaiTfiE1+GcezZuLYNre4oW4jp/D2rFBIRXpUguAwdXKS/JJU0pGK1/ucrv4kFKfGC9WucAp
5R2VusqOfL0pQi99WIHXkLDVxnnRruZOeZN+oTnE97TTFFkjdeUqHZv34BnSCRttObrIJ/Zu7Zg3
lnCmw2wbIpL5J4gfg8hOPX8kmK4MlayLRwVGHVUepuKJ7s1Om+4zN5OX7VSBOSzmOpK+Noj7zJoy
jVIsE/Hr2HifUYEYGciBWe4Tjao1jJZjHbvJkD1UOh3GeqdfEDSy+uE02hyWa2rEQpzw46npgkIL
06XXoxz15tOQ0PqAiA4BZ0UOnAipbw32wajvAiO/x4w5x0qzTINsDfvLRBPEJ98o2qNoyQZVRu/G
lpuSFdGts8e7DG7DzOioJpRkgr5oWmlErVE4BFdwf6eevc6TOejriH7gUWfHDZOUHomV3NZPgdvZ
V1q1WbiQeh96c0h2MunEiYLj5qjZrfqc4OTKK1Ff+Bhl9u0yVmdDYWLGtuhXIwG0O1WquZrroorV
3DoXdU8TYeOW7nuDFsJYjhrFde5WabgY9QUJa9lL0JfFzvTb8WRo8s4iZz+uuvFDDVK5BweeDvqw
rB+8spHIe9zgmlbNDp3ZKKhfV0HwqWeG9f3pZl106tLHwbHuG8CkCEnfvZhmWcaZvwT3OZHz39JS
5tn5rAXuFS7VOaKS3Ag9s6b7T8PZGC4F9x4lwHyVmhl4ktaZ1Z1LH2+81IZ7cLpGHGB375ZKNvvC
a5PQULQ6oMov+xB97H2W5UGclsYyRAzbc1hWDY14gi9xNpts3xqzcQJ4Ey8g3k5EHS3dYpP/cSEO
jnS/6WOZBdoLNTj45WeV3ThW82nOQMvchpu8EuGwc3M3ORBt/0VbAH1gwU5zOXXXydI/G61pRnMg
nQjzvhY1o7lVF447RyOigSz6drfmtYoFD1KlZvN8XLXbrM1vywQWqVB+bHfucCqL1Yp4G5O9PST9
16J0bhwjWQ8U5l5VMp32GVoQEiK8LxSuYm+f0i2KwIcVEBVVGoHgGzNFF5lELYdJlnCWMZV5Po8J
7eHdoq5Ya3QAwSEzP04r+R6NUbh7I2nGo1jRCUXN2hlUlqTLqSPnYKfJ4IWtWoW44PuIZ3K6lkux
7otc9PdLCeCWNq1905IyWIM3kVFRjrHcepZDYSzWhdN29HHDgTMWgjx9IvEheLYoOTvlY+Z+0KBi
PhFIZ4dLYIuLpAKjjoayIEFHkHp+dNT6vjGD9YqsjIoUSMu99tuaZJTlKVXgWqx3zoWSRnokECzZ
a7KxHzv417ssS87WpFzPmqpKbosZnL+vpi0sxD0aWxhsTnUhxLdh5sciyLWCnE5fgOg32fCt4B39
ZGKB8YkAMKvrMp3T42Zn3Zf9RHjBkpORNtGama75oe+IzAhVPsunoYbgzquJ1w079lAuwzfdWaer
xu66nbN29UqXXQlsnrpFfhMoSFxUvB9yuVx0CV1wmWIZIw6jDXXHa88yl/rpin7j80VpBfW9qfsk
OK9TJzfN9XmDk23v2+KjCjjsdlr2nqT/9golQHlcx3LIwmqqzwwPtsTzp+B+qjFRsu4a75XZby2e
Su1dN2OE0meShWBEMhk7qbhOs8HaU0j/1KDBEzF1GErG1TgQAWij+OzTUTNDuza6Q7627qHx+u5M
p2o5pi26Jj4gqCLkbk0aamnpAv4T+CxUFdOMsx0k2vzDlBviQS9q/ZtM1+mS8u9n9Iri3HMCebIT
zbmfiXmJ6zQwT8aUfwvc9m4ot7jiYPiwvk5UWSrrfYaV6zKlYehUoBoNG0t6l60HilRT7nedu9Vt
tfaU9zV+SEDsHdtUdmZZ6DOmbphPZRDsdbORZ243XeSuuvYWB/3IYl1JERihphonKkTXnTxZDfFs
t8aRvmbv3E5pbR31WwQRAzk8kwzx/iLA7rpeux2JxsQeviSRNYs51juR7RGNPNek0sSZIoK6at3y
mC4p4cSjfOratPlstK18EGZe7oQ9NKgGxi4uBts5AHXSMFXaObZCe44sUjWObhGkvKC2uZuDMTvZ
Wevd2r2fxdnalvuqRM1sVlSql35nXw9V3pZRi/oBnq4Yj0RpFOcNE9/DEtQEp1beV/rPyRIQD0OO
3JoS+Jt2BCygGzv/ttgVcQy2W11SIC2O/uzUkdcnEzQOcYUvtRLlN9rdp6t2bNO4k9Qm0rVN06xR
6zdzHkiFaVarmtgkwhFKR5O5d1JjMhdhnvYsXwaS8CH003kkwjptaAPThlr5550gSGhX+ykodTsu
ug3yP2oGceFzo1fQfnNp3S3C62CUREIz/WFt2yyeNFGboUMdThqWQFrlYZBW9aVmcyov2zGfvHO3
stCvGz6J21+JZMllLHCf6pHOA9Qca2pJ7INEblPcydqrLoykHFifgloSxuL0/RV5qo17TFu1kVHI
QNKTrs+tuzcnq5uIgFmAlTTCbhh5PGWdr8T8Xxr2lH4bugUcP6Ct8c5smK+ueMwHDjAdOcxzVtO1
pGZyUmbuh0lRCNGPQ2JNDGD5eIE2yazi1VzUk22UxsPQyeJgU/d9JWufRXdxKK0VVfBZL3rrCM1j
7erc97BVjavyeGFlVuxqB8AqJK2ph1vD5YuKyd4N6wIlPKoUOVFneZREGJvEQtPH2Yo7s1mbXUZe
C4EwjUcoXd/3+YOHKVS7qezBJtDHTW+GDO3DCPW2Y5XRz9dBty4t0L+LcmoAuATdXzuUMYWMR29s
lh3l6qxNQZeDRc8SQifpZXKmVXpyVpgeVmDXVvVJ1u50Z412e2YOA7FOpj56YSaosOvsYXnmDjCn
DXUimUFz933TNslZJkZms7UiV94kKIYmovFZKlOcDatmdFGXCHFjmon11Ejd+sSsbQHnjesz3PO6
ow20JmtCa7wXq+4zL/KEsu+8arrrkgAqqKkfq7Zr4iQQT4L7hpF4Dl0zv6Ke60mtiD5WRB5EBJJa
gSR73pmFej+iAblo6qW/oOtzjQaKA8O+1guYQLet35OoIfJjTpqk5BBrNPVRJmMC9UUlc05ZbhfV
NAc4MGtOflZlfZLvbG8YqwtZEsjiJNT4HglIIZooS3pl3oo1oExvFV3xlaboIdQZL792qdae6z7R
hbVhVqdOmuWHLNgcNkoj5sEThFW58l5r6BoWpLacyZGM+c25da2NuTgxt3pUF8tp3fquhzk0unk8
uFbrUIBN0E8PTrTUxC2Z9edpmtSzH6jlA00W7sn2WnWhim75Wub5x7kY1VljrGCfWSNh/sns/+SK
hgPw2hUppqbe/JzDsZ8Ws00vewTgR5GMuN8758FS3bqfBtq9NvLa2Gjs+pXRJvC++az1G89tb5R3
TT8aQjc3m/qIhDxYcYy5MOTWRpZXsOawnvkV7291KV859eGVX5fgGjhONtZ93Qj4BSaeJGM3ruDm
Rzj6aiPraR2Gtw82Cr/YyPzMafvrdiP4uRNw/fYr75+8agDmTQ4gNmGARCHQbFKBymq0ICw2AUGw
SQl0v7+1khSpQF34Y6zndfJUvAoPtNrvD47NS+PNQ3W9NPJYmyvjiMeWSo5qB59cJqE/jlpEajFB
7uj15sDX4tZKjcjoAi20pfZSjsN8Xaj8xL7LKpfU/TfxqoKQ3ugHx8G1ey/utN4lNabumyMqMvQT
ZTkFRuQtBY0zRr+qk7SluuSef6t1sdRRsDhHC6Q8qknS6ihuDP2qjCZlZSfNCfrbQK9up16UcVH4
T2nbrpGtWoZJq/ucqnSid5L3yxkhoJK5vC3ywricARMffHPFyGdvMpD0VRFSBnZCOHJQ7QlDmp9Z
UVbCPIp4WCaUJ9rE55WGjHI5OWHgckZVg5+dUhbgOCGaf4jJ1AQ4sot8I9uphXPJrgqCDAxpU6iI
3MsfyynLI6dl5GT4Hi+aTcrCSFec25u8pe3n6R5g91TOPVqatrxbiNUMzbJadol0OcxBo9YPcm3m
OJu9cURAoByXbC7NuuvnQjxNFXmUSG10yrTnzuzOM4KqQ7NlNQ8Ww7mac9vc+musnTKJHWLHyeIg
x0DRIXXfN4LGCtJFvM/60D3K0vWuaIfMn6uiUufVFEw7py0yRlZ1ShEt2JpffExI+HMOepmnp6Cz
8i/IL9RTNvvTXtA89chgS2tqMBgXshqnz8Oquut1aVWsW1j+tisrspPshUX3WW0xPpDT9UWf0pHw
5UX6+6pzvTHS2QwI34JX39x9MWxEcy5yM395hU9+i1P4H0ndbWk/fw3x3kHH9/94FPUXxHGvQu4+
e/nHoXupP38V9csP0C/Y3b+hX1TbcK8O7BxY/7+kbP8RdOMWwrf46scEIAMV/oPTs94xiUElge6a
IL38k/+wEIC0SIgJD9p6u8HefoPS+4lxB6IyXQhrmHcQVmwxP2KOSaDRV7LyghvE7tFHVtXYfd1g
JFZVBuArYa4K88EuLOuR9FVSCcxJ+TdjX6oHncA2fTIrik8ak+Oz07U5nWdO/gFAENXJPDcXUix9
Fhmamd77brWt7dZwt/QN7zJJLP4xV+YvkLefGkI2dpI2EjR74O389Ua2JwLN8+y8LuJJKLQB8JU3
tpzAbHKL1suF+K9EKe9eBb2NeLwpL61O2bd0wBaHtZRdqGDDozk3bnLk1Gdl3hBDliG6wgpOoppa
EHN16vjdo/QnKPdbgp5rBt6GlSGM3cKK8gZ/9zuYAwLQCyDBqtr3gKq7dKoeJ4alSFRtE/bJL51k
b3XN3CK+cB5Kg3ATyn5c6Irv4Wa+pMBqfBPT95ibD0W+PMqpr6gINoOo8exrqCJ3n+MqiGjNFXs5
1MEvciJ+4h22S8BsiveQhzDAYPTjJXitnBZv5BJk3Xk718rQLQEdfpgNi1g8J/MudeUDj87uejC0
XNsViwmMtfT0proLcXMkbIaWLL7IakI0Z2l69PdfzE/0A1e4YcMUzZAWtFlLf7zC1au1iqxSbpL1
KMbLYSRuWOPARXHsiEaG+TQq82tXiWjV5zOzci9KarE5G+caBREJSXoELKYgKfzfdaBVyatjK/i4
+Hmo2U9y9kJONnsR3HVM939/7dv39z0C/XrpSFh9JAa0cr299DbDQoDyMgdQbYyQnsQqpiUni4Ji
nUIAQPkr/mL7tn78QCS5pEvQg24imvXf8OC+M9rBAIwb26ZGOZ9fnlNGBB46clJB7phcmoP1PPTE
gBJ+P+38YpWhNyHSU8aghb5y3UNPLNovLuvn28BVwXdu4vnNdPWGDUBZ1ZX6wFUxRELs2Bkwoey7
I2tsEy/aoOLX2/5b++e1fKnv+u7lpUfV/Va28oMC5r8xL7/FV/31fnklvnxmuBx+ZOe3P/MHJ2q+
Q3YGxY5Xm7bZVxf6H5yo946weciTTUfFvrgFPP2xMTooWsiMxuTE/geFz0P2x86ov9uEMwCQkIWY
+Wj9+I2d8SeKi6WRlDDoGz6f1enNi++VNMZCEak9IGIL0+A4dyjC+72V1MUvtqy3q/8WL0Q8H7o3
1hpEedC83y/EjWtJJxdBt9/qo9uqp/ijOGS+eW93yXnvab+52WzDCIlrLLl03uAie/NCFFL3cQI5
3d4drHtsOzsL9TbgMTKaeikv17xMf8HI/Xwv+US+4a2slYyjt8Tm2CmnWwY+kUb67dTS7uax3QEj
/SoU6KfNf/vdYMoJ7OJJ4L830cV3FKojmy6v/aXbt2mijhadQYRwoqoOR5kuHIWz4tzxVH/vLLnc
1/VIAex0x0/6NNryQ7W4h5pDusmqFKwhCUPXup3InWsmp5qh/70zVO2vtsCfyMot8kkP4H54xjY2
/8crzk1M82WQlvtc6y/dpr1YKnXjpcFC0gz7TKaP8ciiG1ZgfLt1UtPuu7fyT0aPn/ZgbhOmG1Sg
OHF4Cd967WbAZ/zXPlF0Rkeccz03AJZ2Yu4DznTC0+qQlK1TYGiRT8/qWnkXpFeezanzWden8yad
tajX1y8E+f2qOG371b/fT7iybSiAxYVn5rV+8woKP0Ma7jEQJWZBruyauEDcqYVNoh9qHZJIYoG3
JCTfZDqEzRIDYt38/d1BP/fmIliIkOhs2wddObw0LGDfP1EbaW0LEYh9BRbyTcsX59O6LA7bKEPu
STMxPoRZtxY3tSirj1rS3SfTusaJVkMU1eY07ka5ct9M33nPH5NnEBT6ng4he2954/2QDAm4dCoi
nzckDmRzDwZ4Wpy0+IASwBwt/96mAkDbwVvaYjfj3puYJnLP3OVLTp0i1UDrcGE2KKJ3SBf0Z1f2
3vg+tUrj2a9LjAsJ7ZQcJLXgY9eK/knxnyetSfRneLhJXqm1W1EhAckhnlta+PxaVCb62WTZK5mj
dR465vXUZZw2CFwiRbyqr7xp4XidURdJ6STQJonDQ9JGnuqKz4qk4ceuoPiQZaiwdu08r4e6L5c9
ymHtQKxOMz+pYTHyw5Loy6YZGAN467w4eW63gbDE7lyRptzsxkKTLxUfdm8RQO+Gte+XF1lrbIJk
vf9mLrhKwsLwk6tS9Q0ycdVdkKyt24AxS+uEJcdsMxTjSl1cOTTlhdV5/bfMnKDNtSZ4qoNka52c
tepD7bnJFYnb06Xh0Y03GqV5KnuBF1OT9hjXkmLlqC98ym87EgbOsqyHnBntZjnWZWKYeyUAh0Kn
GkgnLmlPAstw6V/OTCKhD2pCg7jzUzlGiHHci4BDF6er0lTPUmTadTo4cjlltHkuBKwjkt75ygOH
75h9VyxsOZ3d3MsJgw/OvP6savXuRFqM5Jd0/GJ042Hq2+UEdGcUJwgVPCWiz/B1ZsLbY7EoorGV
NLkTp1v516YQCxweGb9JPFoFwPngNmtUd66Be9TqH+zUyfU4sdT82bTbnESnXI4t9ZYGntVx7Zf0
clWploOh5fQkFUV+mxS2DKJhqbT7tPFB1DuwnLhuAYJ2QzGit3ZWH6AeeYZLHCWZ6Q2lJJ5zO2tU
kJ78jdhoNoqj8xb7xX/lPVQLHVxsZMgKf3XZOn5/yY3Lv3UbaeIs/k2yTBA1ZfqAcPWy2AiWFaZF
bpSLV1fFuVYGw1FYBLMmeidLHC7QNAmUQ1hv1I3YSJxptEjdReF0u2wUDxJzc+dstI+9EUCr1OeI
vOf8PNvooXIjivyNMso28ggEptxla9A8qI1aooXzSUPsEZnWUh5LCfBfbVTUMHrPeurjh9loqnIj
rFYDnkxtJBZRTEjC843amgHreVnt22acz7CXeufTRoRpWTbE5UaO5Y1rRxS+mtBvxhWBxdZOM4fr
xRgujI1cq2DZCAWZT7neYYzO+vW4Gv4dwVw+zDRSiVGr9k1datd6Y4FpG2m2m1VvnKbBq05940sM
pqLeWwhMyAiDADTd0UD1Zd6YUIM5+SQnQ4CXOxtvqOmGRNkDlzjnxXO7sYt6ba3fOECLh4p180O3
sZDUC1Tx2Ne3ZGS7oUVkbxpWG29pbAym4p7EcmM1rSp3iTYZugMaF0hPsfGf9Fuvt3OydDKWrwTp
VJVPeN6tvQt5am4sqpINhKrzT3IVoG7fbYxrB/U6CQEJi2IiuIfrsFFb1ji/DPxBzitvC0h4VW5c
bkHHnQe5axemzWjU1OeuU0D96vnqPLWFUVwl9CGei40jJmakPRuzfogbAdSoTY13spbpQk7pvK+b
UlzVlbjFxQ4M7r7S0HJjpOmen67GjaXONJ+e2l4oxAMTpYGvZPYrr21uFLcrDWxsaXmqNvobgNfb
p1J9RabgRb7ZtdcG7XY1KKWOYXYj0PuUex2Wr7z6unTl0ZsYK0I5I/eBoZ/rLN3p/rxe2LMb3NZV
sJwZbt8STm7nZ17uWY8Zi8WBmimOqxAWF1jpIWRg/otNAjBtYgCME+uVjT4gICT76GtD2A2NC7Bq
zUgo1k1O0G7CgtRDYlCtcvlQWn19Vm4CBLfr508l7vBdQGR+RVBJY130fY1qIdtgGl+Wy0FSaHDT
NkyF+SZ2IKJu3RubAMIvyz5qPSvfjS11kOkmlpioA46EqZOXZ25iipQj4L6fVbMz8tUKEyv7CFlJ
B7AaVtzAmxKDLdn+MougoU6xay/0qlQ7X5jgXXPCz8+y9SA2UYdttc9jvZ6Nzfq5kOiM6iQvI8mv
AOyePCuWp51f1e8DZa2AvtaNNZhRmWXd54rA+gOdCoidZAOI36U7YxTdzZq51yiU7upNh9JK80tq
AWuMgO+7rN4KPJKCDhjDiGBJtKgdMQA5eYlpXmufl03v0m3Kl0QvYwohzmzhfUHrkRzqYkAhI9i3
S3eqI27np2rJMrRBNUkfstdeTC9/n5LsnwZrj5csK3fSYG+jjVK8uK00Tv3Gl4sgC26HrpxDW/gz
yAuH5jjF4G6FJDp2oS5ZqGiDHPY5QLqbBMYzhNHwOXtVDS0OROq6SYky6kfoqzE7+wPThnu1rnqV
RaPJK3Och7x8EFrflnGAVElumqXOV9b9WPpDG/k01CS9O0hal+0uLjfpU5cSVgK9UN7RBDp+CjpN
XCOCKAaivRohzkHJ0W4uWfBxLVbXRpZjl3rYa6b+yJsgTmVmdV1YanX7Ujg+j1CQOf2HdTGyW0Ob
5oOQSerFTYVWL5RDYdBKbdlJHYnRwoJprH3vxwueBmYJYTHTCakLiaMQpS5VEAGhO3RrtVWE8du8
djKnudHWeQD5rLrmMXG1WY+lM5stcrOgbsOlFeK+ETkiO0NNGHGVdPNHq6ppl8r8Tn1TwzBLGjLn
xgmtwhdN2DlK3pebChDpaUnLeD3EzlqyCknNuIBZt68EZIF9VliplyC9yWd1cKvOufR9kX9FBlmm
O2Q91km5vXVB04t/lKndvw+WioxBwf78lLMGRMru67t5aHZWZc/nErVDF7p6X7Nk6cnHpSCEGFnP
dK7ycjoil5WXALv2M55PJszQUXXwCb7S/1ZW7XzgKV9vJy9NjjUNMbhFaIc/YFI2QsV7b+zpZlgC
CrtKbwhJCoZuHco13flLsdzkZuqO70XgL1k8CL1iC3SdOPV6ix+rcpDZwQsk3TcVfe9MOTIaTBaZ
ps+Li4J6JnorZT1/MKYquNTbwcmCOOl73Qo7SEoi5wjWrR7g9OYvHkerFzn4y50BTRrEPeAv0fht
4MTOnMIDmp2uPws1s4YzJjV3bVqX2c2I0btE1TQsTsS6wS68NAHfZbI079uSB+KwtI12hegU2q6t
5pIWmanemUZGrEFmBh8UPzvbgV9UsduX463BGeFMNFn/vhardiiXsr/wJiyPIJ8MS55aW2yu6AMe
5bIQr9G1A90W2Etnh6LOoGlOtkWXOHPnaq1Rlcyj+1gKIloGukgvIRB0ypH63N1tLHER8tXm+2rJ
jeQKdc6CQDJzOvnCCt/1ZHdYRuUfLAnId6+rMisfMRQjvhozJoJgDrQSHs/pH4u8Sm8qvNE5IZVz
8b41O/hBe8n749RSxFHpDQl5bUdiZjqO8Zr3SRHOwswOo6mxB3b4FEKrDJzztFb8lhzF27vVIG40
7/tqJjFLeN/MoJiOxTIcW33hFDLr6mGmbDL0gnx96oUUR3MqqyFyy349mH6dxWMaNCd3Ugg5MQMd
M23tQoaH7BJGfGRPgBpO667dJ02CSynx2q9mUvVDmIxpzSsz6FiWveH29wHB/5GEmgPW8dcAYdgJ
5psMSo11vP7HSZWf668/0mjbD/jDzWO/AwiA8YLbtMh33LiyP2g0+x1UGXHDmODIMdwYsX+jhf47
SihxPtLdCavyg5vHf2fpHKPIWfcouCTk5HfQwrcogU8KsQuFowPl+eAVbyC8Ze3gjhVtXsruCEzB
AhzVyg3H9YAo8dt3t+lPEJu3aNr2WViXfAPC0CHV6Q0swmu5lqPKk7hHYYR2AvnAFny5CzL1+Pef
9ApufI/AvH4UyTcOMCH5f+4b8GNe6yBIUFTE60QzjBWcj/5jXc1TzAGlgJbuyIwcxxP8uBYnk/yw
eHO8JvoNvU7Np8r6NqZ09dj5zkFsFNPfxSoZhNg2COe0rWqX5f/E3kHMSTD5k1vzFkndrpf0LFI7
ADdJ7AA3/gGs8bvKmSYjQK5gCfTSrR5xYt5YhhVRCA1isQYJ9QsE7f+ydx5Lchvtmr6ViVnNLKCA
N4tZDIAqVHs2rZobBJ3gTcIDV38eNCWdLlSpK6jlzK8NFdFkJ5BI85nXPPtgH80SjDFWGEQdgxKe
suVS55y2qAYUjl+niBfYonqMxPBHrjr5ozk1d2MYl+gojNUdohuTN2nKTp9N547KgVvKuuGLOvWT
xH6MdUoLrGVPa4fKjcRdPXycpAwQgaLMnomkJgR0C9WFoiRgirhyV9hDVlfvxsZ8nAYUFTpAEOjm
LLrXm9D3DSQfMAON/bCwAG/X4ew1DdiqAkpIiy3fp3ZVT8Jx6EJFeyWqHpXuwMfpFOjXJWqhU7nt
LTbjFI0JBHvA6P3kkwIagHiz72VeYOwHhdrv2+j3outMDwrorUxBMW9Iyeo6MoPX1/BzyXfzdXSV
fYJwEo+EVtTxmpirzNILSAY+hBWS37FofQwfZzclAvK4Wzs3z2Vnl6goWIAzUdqu82YdazZDfBoH
s7lQ8D05KdaZ+e/H2arhAhKrLFxAHN+R6oxqJjjOQWsc0IEfmxES7etvv23Jrd+BdQmrnsIuBfj1
5y/q4ckER1YbiOaFCPFgHDtENGpzuLADnom/2zlGIZ2TWYM2ySl4PExBrS1XksHxpTxMwap2n7Vp
ygH09XeFNA1ulC5rJK1d17EmuaGCk5OF5gxiZEQfh9bMZWQ/LULXqXhbo37sAWo/IDb1XSv7FvLG
XZ8r4d0yIgQpaf0+LBEDqSEnSFDbXfCSkusM96jkDGRxzofGUB6QKtNvajMXPnW22hVRnGIgV6Oi
izXjbBbdvTITxCf9lYiKAuxS1fhodASlHRc7KM2IpuThF0lOv2fl+BTBObm1czJ9rC99e5KRd3M4
UrLkAxbii2ubQnHNql08xkE1o4Q34gxldWGez65lkBrEKc/+sFu0RjzlYjSz3PGtHAPYeVoJDwvm
mAY4MkN6Hw9xdaOgII4XEvwdK4L3pFJsMmxv4J+5r6+t9TA9+ehInNIog9OF7tLxRycM7zs7DG3f
QinE1VpEGgj7ZFf+BnC8bkdKtDG0n38xqA1kAfuSVR5wM6gMS5xDgkHL6M3QdZS6zKEjvRd3gDAt
18aQkdX29PqgZ48zU+VyoUWCEO7WRbYcMZIfBFyX1uivkAhSSFZQGhuYU/yDHE9q+8/QDyUXstTn
Wc6Sm2IwDnYrxRde/0S3Y93QJggR9jQ1Ztppx5MedsZS1T0i2lEz6t5cyIMXyqjlxBZoYVkAsVuQ
0/JENDXXYZNOvmg7e6da0j2+vhQUTZTUKFpOU5NeaCs+t2O264F1CWdgRUrIK2bp5VmTAWWNDMBM
vlM8aaiyP+Tz/ZxRYRzN/WpWxOaRcS3XtSuNcpEZznd6Dy53MJJ+h4cLCkIRd5QiD6Rb5O1V7Ty1
VIS8vAVemmpvE7XB1KulITE5C79NNWUP8Wp0W9cAPr0T9mjv6kJ6wnTGj5wGn9jsiykPkG9mVseU
32ZjenDGMHQ1Cf5oTy5OtQD8+GjGX5AkkXHFoOUBYPbWih6EVaKGjmmSWyKmJJFM+mOB5WfOREfR
lPooNlp+skQZ8OH8McGK8vVVd+6msND8W09VwrytKwzSN3XZh5btj6kz+BrNt8judirMgURVm59H
yy+hFv6fJ3FzLf1zPvJ/y6hP8vwLKcez+t3V9//zP9ft91cCAuOaj4GuMxXKFZTA8v4rAdF+Uzkd
kBkwf+YfREN/wRXs37h2TcxDcFcEr4BmwN9wBcQ++G1/Avye5Vx/Aa7wnGEc7z70iW2dKifarAr/
He++pQCO1JoRuGcSft+Qk0+Ro+U7rB2/VU731Sa+7AUqSLGa1dftADNh1sHSvpixM/H3CaYMxYVV
VEFfww5Qi9voRseDF+qTrfs96dhNbw/XdomyS5q+n6QWtKpUenZqcWqW1W278gYujH+SADC+xSwj
00DPmCLK8Sygu1orbU+Zv9BtKQGIpGperWfioS6MeKIDtIBw0yS0swkCLBkyii0kLKxbouwxLyUX
zlpCuVRETu1zmcS+KZBhVZuqOeR5XVf+8wP/Z9u93EQEDv+87dwvzVdEIo8S/1Vv9M9tZzir7g28
HnXVP10FWP/edvwIorytct0C7UJ8icXw17YDPouawirJQjOVS0f7722n/UZ+Ti+QvawZyDpav5L3
n2TIPJRjs+VUMGaUE7Y+e+irtTgb6JKXGsotZ3jU+akeJbslM8J+R5kSaxopVKXFdeZkQXq4lVTJ
AwfTdG5hqs113M3tH8Yy0EJQs3z8ATAPlFpT6RFcB4uwstOU8fvKOHUbCsYfKqNM7xozX/70uvvP
UnyxFMmD1iPhn1fjT5T33Rcqq+X/+F/75gtw7//98kb48ze8uBSsVUGGyhNYNIKYv1enuYqRamvW
yV1B1WpFlv61Ojn5kXkgJVNAQ3G/H10K1FnWZYl5ABpilv0rq5PbahOhs2NsJL+QejNZ75vTMJuy
tpu4lHyIwuqhQjcTU9RF3mllMl04+U+QV+vJ7zASKDYAWBSmjk9ezYB5BwNR89N2GQ9Wi608qHIV
qW5Po0cXjdZMIzdKURh0Sr/uSNumfG83PAkHuh5Ak0GH89DBS/VtnVNaTmJfb2DNZwiXvfimZ66p
Z5eM48vS4CThXuZOtlZTkuOHVe3Oagc+nt9W1sco4zaAEJnD8o/vKpKXqR7AbtT2BzNfiX7iIMvo
uaVTCMO3tVFBkShxrx0jV2j21ywR760msTwabogaCNQpDXQ5VTsVfop4dlZl2n5Khi6IMIUlvKfN
JtX5zhhL20/v1a4tvZKCTGQ3mF0v/CLI3MkeojSihOkNjCpfS5LvsR2+1YQDY5BMz0a7wggrY/fr
19H/F9hVmQvhn0+BwxdK0y93vbL+/T/3vKX8ZgIIg+PBTgXq/PeOt1AmtpCowffDJB9UX0i0qQhO
saV1h+o0MkDqSyUfewW0rkmTzmnA3/kl1Conx9GOB6tKxY2LaK2E8sdmYS92o0mjHVu7chhGKP2r
FzOWJ85VNScQuyLVqe6gTEk/pjbrHqhORpdKsOsIL7fWzyeg8ofyFiBdrtejLFBNRVY1AjQ/umfZ
vhHkenpcKpAzwwv50ZpPbkcyUcvh9CUwJ+Q7HgmhAyks5NHcFYoifBlFez+mwPgzQvvHkvLpjPJG
nBarONMqiE788TKrje1crtRe13do2csPTTXLrSeqKmrdVO5kfa8WeXcQopTuzak3PsGXVi+pv2+D
WhL9FR9KYZtwFdTxOhEviniOhQ5omlK3nhvR7mqzNe9yxJD9KW+LYDLhiGtIHV1I559jpM38Ar9W
0bu3IdGQqmy+JCIBochlJCnksk7RrYiTGMCjDqjDW7WgnZ0zKU0EggAdJS92RImErmzMievUWfUQ
dZIOSU8eZ5cyCdIoFOMMVx5M8SXDHQe+eIUxGFw+R7sRykInoU6XbIYfW6pQC7UF/FgSh4vpzTO6
BC5PqnQBlSb9vWxXBd17WuuW21hpon+HAShREsd7GMUkZQw/xFqS/s7HSt9auaZ/tTORDfuZ+7g7
FKmiI82N9cLbCIb458WaDPOxM+K8gOcEz911jFmkB9Cu5lNkzKF+T6My7j9k+pwHaFQvw94GQQSp
3Vy0FnXRYvhkjTRId8qkO/V92Ofquwj36NaDMZ9+WMylVwLA5LrumsBWyH4a3Vx2pRr2X0wEnb9p
Ebq8NIRH7abCtpk8ZXLMlasgUyAX8gDhUlcG686GOYgLj8W0u1Yah7rbp50RARwjN/FQsgm1fZmi
yeHXdSYJAFdQWX0krlDuLioUTfyuqqOrslkQasSWV4OGaRnFPrEtNEh0hGegZIa9cW/HyfQeluyI
SEWxgJ+Z8sWmK10gdNIA2fpW0AUGKGMbaCmrFPTBpQDmlBOksUisFiqTJhulD8a8/gFBVXm3ZGqK
DM+Ujo6ntkXxh3ASPUYYaJoSl+kc3iAh8bVKk1m4cK50wEW2gdiAbk/iW9iFlOqlVjk00jhYwFy7
5DHvrPjWoef2ewNR8sfYJEVLaic70O3tRQN8NIigbvMusOBo3hQZTKObVHL0J1FL+RtVaDSGklbV
r8vewRfDmjT1boLRG0KvVpzHAXRy45vJZFYodUTqPsqqBAqNSmwTdrMwvZHuzeINtj6ilhIDYtGL
qVR8p+oTmjSqFH+sswGzjDzLJYQmanCIVC4BBOYtsAw7RaPqYzEwaWBmEiQCrvs+boRbL0Ivr0HD
hsutk02rjpBaOG8TyxE9kscOOLWqzRZUDBoJMOlsGwJxNnij/tJLwFTauDKrgz7m0Vd9mMHFlE6e
glsJa9v0uqHTXeFU6bfaqrLC0zowOrvaGLrKg70kaQ+pNnaYMZR92e0y8FT3yJV3EzS0cHk793P1
ZHcLAKauIk+ehBQ+zlVqP8QZTuauYtTRBwFCA2TrqLQ/rMou3zgJ1Uz4tm36OAPGj3YpQKbGV5Mi
bfe2IRkfdUkuPjcYOv/hlB0aMA62JJ9b3Eq/KhFiDxwuSqxQRyxNmBh6VsiHmiA6fEDbfJaBKMqJ
5snoYvT0DapJcTnLc9uT5QnhjKZCw9pVrNR5Yw5G3PloWimfwiLEk0Qp+4g1WBj4bbcoWdzLXaoh
Hofedo8eyNzx/0KS4RmrPR9mzUPVfSJXte6rI+UgBEqd5UlIphSjs96VX4yomuDzxl2V7suin7Bu
0SQVbRdQD4jnp3aDZ6CtxTTkkKeAlIVUtgStesmjB61u09bT8E6xKdvXYxH0g4Y1njTKtPsgS+Zy
sADoy92OvQM9QRFx6zpKCbcap1KVw2Wwpy9T3+DkmFVWLe/kCZsADwUN0k/ihijaibTRRn8aRjm+
1sMEpSz6IVrpj1Dkv9iRXrxZWL0xeqqxCrOuqZYHc5ZKxcvtIfzm9HWq79lu/VMeSfJ7Sid5yI6g
w07Ma6GJ1QBnTL02rZXIh9/T2J5azpoF96rJHB9EqfG+qNLOOpSVhu5ZadpDdT3SRzC9KWvMDz2y
uKlbyyW9udBsM+XCrbZmPC9jhtV4S10reArdeqRaScpeXqU2oNq0L3OY8WCDHvP2sVJC4zqF+PlW
t5irF1Hjm5+/96VBzbnR6AwrEFIIyIgKj0cDXb86D6XGLskr6Q1U2cUf0eXaD1qu38Vp9+P14U5y
MEw2Hc5cRHpXsAO2FcfjNVCVGo4QHXx21D8iNARfNzZ6a/LkxlkQP0lLjcZmnKbjLpVmufygdrYE
kGBg4e86R7S5L3STzlwnWv0OlW0EE6tIizBiGsp5vNPwWzd9kUvt7OlzlHQ/Sm6+S76xJ1VE4g5y
M5Mbna66ghL48XvAIMKpQorsXd6PUoSUAayir3oMSovwAImIG2KlSb0SaSG3/qTIbUNjXJWMveC0
7v9TovsR4TDzMr9Zy1r/nA69h+jufom/FMcCp+s/+isngsuHnzBrDxyNc6S1a8u/UbmjgAfFmCII
lYi/6yCq9ZuqgdfA+hryG9+bH/3J5SNh4tesQacFQRjyqvYrdZBtpkBsCGyCgjSt9+ei4PF6Mpqx
nTm868CJ4e8aGtoVEB3qC1WFbZj+cxTKLbS/DGqOm3g5Qu4H3yStDqIw9IYOF4hQBuGOkCEVhWou
wevol/qBZ98MGU4ZBjeZ0DYHWqp4WWZ2bFDoakV+QN9akjEyePG5z5xjJ1Y466tp4AhWFQOSSnNz
bPZggVs66nTvlALAgp6gUeXLMVbLFfFWgb9CJaMZ2yXRLfBFlJqWSMqvNUwGcPZQhHElZDGp2KMV
XxN1dJDiLqtee5cCSu0DtQZ2/9zFv53jUlLf9IpBuNXjiJjegPe373pO8odaKfJD23bSBXH8k+Yu
CgyIH1icnGvpjebq8epA4cTpewd+ULtI+htJVaMZsTVowoUdqx96aE3uPKKe03ZOuE8beTjoep3u
UXTsS1cS1nhhtk+Ov/WBaOHQaaLbC+1tTbFf5HtYBMRE5KIKFsk2r3VFnZ4Srmx3kav5I8DqHJwx
0reRNKxW4SUqOvKkX4CpnC4squ3Q8ilg6mhNbBspBgxAJD6tMrDCfPyUmG1xhz3LfKFquL7Jy+uY
uxFNeRmfQ/j1oIQ2byolcilHY5QDxR5mzx6r/BqtFLDmOItcmNWT3cnhQ3GGCgv9OMoGmzxeNzoV
45gyDnTQUzdYx02fOnRGS9dGTEaeJum7EjXDr+JvZEalGKrp9OQssvfNjTzXGqozZLtBhItz5Mrp
lKMg2hYXwpqTeYQnaXJbMp1rk2TbKo5UaxBKp4ggcSwbVa4u2+U2u6fLhX0hpjlZGM9DrYUuyjs2
WILjxRnWTgY8ZhSB1LXpe3LQm1aymgulnW3ghC/J+p1ouZscpaek2FLNRy2t6yAJSSUgXmQHtZuG
ByhDzV3eG9avHt0WpSpdYyigJVDSN0dAwuXlmPOECzrKqqqW3C56igKZhBrkJH0zJtToXj9Rz8wi
xXKG5DoCmrq2rl5u8ZBTcCH45dy2zQiCGGjOUoOs929GwTRUg1kus5WPR7H6kpROs+pAKVXHXdS+
3SkKqfS/GIUJREYExjzSD5tRko4ZRW83GBvsD+Z0/Dop1iXr3JP+NkuCSAFCMHLTdGbXjt7RjHVi
EKxK3kUH5j4q8F1UKBooASsfC2U2b+0wzQ5CXWJPzftkL1aZ22qUzQvnyLkvR8uAVI+FQvNg/fmL
w1nF3NlQQ77cWLerI6ij7Rc04y4syBOcz/q6gOnY0TLKkpQgj4fBQ9O0W4XXdcK1E92pHTJXw04t
RtR4h/dgQwBSaqRochVEibgKa+XzBCrFjRoo9mQ1QOKi5sJTnX13DjLmHy0N4FfHD6VDSkZaXK2D
Wevfr13NvS7mS2HUuUEgfXNIs2q5Ctez4cUEQ+9OTLlhEAhMZSCReEDL06MLi/bMiUnFnbgB7C7H
/NYSp23trErFVAdhU8qHPquT9xmn2vXUWpeAUWtwdHTJ8Sm5yPFrZ8qQrtjcPDMfAwZ1X6Ok3QF+
JLXdASGnB6amsFcm5LGNQsy7BrGUCy95umlsGQthpDDoNSLSo22GDs0ohDNY1QGciOEp7Q24j5B2
g7pHYJYuoHHTW2P1o2UF3yEBnl/nuhZ6Jt65F1bO+tGO5gBYqGZZlGIIsAj2Nw8iIbRRdfBkAjUS
f8iylO7qecipo4Wam/VD5r9+JJ1c9mvKQI7P63Mu0aw5XkNtaEdtAfErSPUCTYMGi1pEN1m+9yiP
wykpqnDeFYM+f3h93JO1y7i0dLm2sOnBlGczbmeYY5OOfRmMZEt3psWuRdvBuHA76uuJuplN0ouV
7KDTLjzx4ZnoayJSOKMq1EvdB2Hb85Uz5/0hbArpZq7F4NndPF7FRRwHnWTl91Zrazu0e23P7Ivl
iYmbr3S7MGpElkaz9vUxRXEKItN7q9d/L3Q8/zIM2W7JXRCeVFs+UibElZOOnU/PqL7WpL4DvD71
voSq6qMGPHKXRU0Gp3qQb0ooNzewrTs6uVKCvRTKWzDFkqDrOJOyqA8DCsjZfV0sJr1pzrVf/gzI
UiH+RfbIf9vgVXJa5O0tWrYxSg1+IROii3R4en2QE+EMmZySdIhwC+MMenqbpGhUkZuHGVcGTZh/
i+rkYTJNyINJInkOrE8/G8o3wJ3f4X+3S8EBuGNoBnEPA1yj4quUNdZx4Byn2rkUXZycOOuTkTbT
iMTzjLTtePmjsT9UtlhY/urUXy1K0/hLrTkIhqYKugYRO0DlFNATxb6w8U6O1c3ImzkxhJPaPQXL
oBjxW+sHY0Roc7b8IoFb+Pr8n9lrWPiskiUGuqTI9By/ZDQs6ij3Y4mH34QWuiliT5ix4f6LUejL
UouguAYq43iUTKu1MJXWHd3SxNEKvqu2hB9/fRB1NYlAkGcNejfHhiwZIpGRoAgaxQaw3tPXqqCx
XPg251YFdQmgikA+1tLa8auYWgNHtE75NgQXe7TMs9/jcEShrIWaQknQvB6jbnARNtfLfzGLAPLW
njD7EhLG8dBDliQ9PPAiiEs9+QhLt/SlZjQOr0/jmUtm7X6D/qOghKnOJmZaYBchJ5UUgYrk9w3q
DuM9pyLCDlGC10Wkx19eH+/MhPLBKL4woLFWD47fSp3GSaCvVgTS0EqBoeG62QxQztMKRDISNT29
BqjiRYkb/Osjb5vSHD2gBaiMoWaNzuGKRX0ZIznweoexGvJgQYTFx2cMQHW/NL6WNek7k4+6i6yy
8aM2EeCo60vuJme23tHwm61HF6CsEU7LA0kgkl5UIkPTo5kuRC9nPucK/Vu1nLjpwC8dv2QGubbG
TJhRAE0cJiLPQ0qhCWNWtd8bWtNdOFBOJ5XDkgNlJY4hfehscvVFmoiqqzgPKn7ml2n1+8ipgNlG
anpOb3IHVrH+IMVWhVvFYF+9/klPFxMtAvYmsH4OG9gNx287apE8VCYAeQAUD5zReFf2lvQg+qbx
8rosqMC38r2VRxdOBe10mnGto6RH5MJNZq8Ghi/XkqKJMUqisAoE4kDtXVY0YQWvRLekG+gm2g+U
hSBD240k2sepj9s70gCj9UaUe6pdEU3Op7U57NFl4Ngw58Z8alqa1bR/dOnLmOZWipzJPDWIXNjI
ist9RxXUWuburZxJaGHXsN5R545CJfImHFeVPcip9mNpdP0VPrzV5z6yEuQM7Lqu3Whs7QfyHATu
JdN+QmwY6olUjbgf28VqvPh3lfvNz4DqZfvmdJnTeyBwplhEsgdw53hmEMOcUogFdWA5kvzUcmO7
XdJUT6+PchqrKihdr1wWAjkM0Tc3DHLoGjIPXRVAlHoIo+lWGR1sMLTyPTpmtG1b+5JK2mmBEcXN
NSVhPJBHnJfHLyZkeLkg78oAfFx/Be4gvJ4R0vDZH9G1o0LhCjM469gmQxprGiylWgshq1997/Uh
uL4JUtYcZbPgMXypMrUNiwBvHqLz3EFdqBeLfUWzHYvXwoqUGzm0l++vD3vu5bkAWehQaMlGnnOm
F/mlaYZxtBh6EXT03PfodMj3XP2Sr1tN6k8jlgNJnNqfQyCCrlVhlZ2KdAlef4jTowa9NXIy0Dzc
xKfQGiluCjleuDlKDYEHzUquaKZ1O3j/KX5dNNNdavnpDaJPI6pPmXVh/POT8OIBNisAbfQCr0qV
HrM2VY+iW9LHCRXwXTKMkp8aRn0TAS/bSxlq1PBU0anHWfbCJXa6vY4nYbO9wFDIVojgbSCS/kvU
lfZbQ1/aC3f0uUHAosFHoLrHn5tDvWspbw+qvK4yLX7TDrrsosmvHV7/nudHgXTw/EVZWMcbKo6y
sa8b4hsr1GW/Uwr1TRPO9oUdc1oUslVaA5TYNAow4Ag3R4U24Eau24IwKi1A9Ohj/A6v6c6niyDd
dUaC4EQ/gaQJSedLJPEJ7abshw1ka7dMkomFvZHhhNJnPubX6QXO77k5ePlwmznozbhKHQVEmrDR
jFfR1nqUQuvPbuw/wvEMZvI49WUKnjke4O0pJWy+J24emugVpqDU6/yDponydhFZgqlafCHLPr0X
GQkRUdg+NL84oY+/aYh4D5YweRHMS6J4dlNqkOyceFcnzefOKi/lAJeG21RRJZVbjcuF4eQcLxss
Y3zs48IrU7PTKyeUJP/1JXt2PDo8+spaorS6fs4Xx2DbRaNIhqII5CGMPuCToARSG5s+7jYdVekq
/OVojum0UJum10sBd6s6OoaFaUcz44VlL+FUElmIOeu159jtjGr4eMnh/Mz7aRA9GIyoiiba5nQp
y1aOx5nWEsC8xTPNPt7ZRvVlUZb2xlqKav/6dD5XuTcLk3QUgC/CtA6C7+vzvJhPCeWsLKykLOCu
w5Qkzf7oatuLOgwFovJBkhM0SBFqUpLsNpXEdbLyZjHqaZRsL1XRLeRRG8hRimFAifpRvdfyKiAU
8+Mc+v7rz7oeE9tHhRoFcFaR1+bDusdePOqAQCX2xHQQMROQXZvyg6Y90Kmv0aCEsl80inPh4697
/2REFBlWXAdEme3BZUXYB3YOBuea3IyBZoFbQwgw8+Q2vcNyyLyOrEWmdGK2F47MM4cSLT+ab9As
oFVsUzQsjpZSqqDqziPqmtghCSD/GKi8PqEnvGxYSLDeiKTWzWTxP8czKlnygvVOnAUd1G8vp6G1
t8q4fZg6xzqMzZJcq6G1fEFNUvMdpZfv5QE9LyNvMhTtBvs+yYHZvv5MZw7KFQi+AhFoCpI/HT9S
6zRlWCxpFliVIV9hsEOEIyeKr+X2pSbn2aE4ScB/oJdMLnE8FGA9m+Iub591ehKUckriG3VoCWbO
p9df6szn5LyinUrwupZ+Nhdgga2Vjo1xSq4SAsXURLNHkDO9MHXr825WK2BvOhAk9QCqttWKVp71
1fEwDYqBlWMPivOuTzEF6UN8AUsxxO9ff6sz8weoe8WH2RRKqVsezx999YF8UEsDJ1L0axog0x4T
p/na7ss/+Ya/cn2uL0SaCxIOLYztJS2BnE7ULg3iYli4ZWKMpmZNvTL79BJ9+XmFbabRwXWK7iMr
A5WA7cdqlarvByehCK+M7x0BE8gZsiowaqQzMSlsD43cyIelnOO9KUz9bpHMEhnFdLzR7Dh8jBNQ
9zMVse+aFRmosE7GjwZPUb9E1dCXB5T6EJ6hBYYa7g3yBiDFy3B4yBY1RJtycjzMTvNfhUVAN1wJ
X6TMdNsRPjj+VL1sZqJF7TKYaHb45lCb7mz02YXj8vSAhu6NOTggECD/8EmOR1GKEBXUoU6CSgA2
r4waxVXD7leF3CowTSncI0cu7391FdJr5HZe34rGmLUJQLQ57oYijxOQ6ka2B21s7EQFXsdCpfj1
kc5kH2Q9hHE/+/sQVY7fb8KNSI4tLQ76ppKCscdWUdE69bqvBH6AsZrAsMDmyRjpIIyjo3pm1JT+
6w9xepTQnwEQRhMG7YoT6MlAagezt0iCBsjR3qjybmdMONu+Popydhid4i4nClzALSG67yXwEvgf
BTnYOEKASFJ2TYrorrSEE83aUDvkIEQwBqrKqzhsogdcVj5HYW1gYDag5cMivtHmRQQXHmwt6xzv
To0jGwAH5BZktbZCGgq9Fw2e0/oNpPBKwjrWE1PUHpCRU925LKd7RFa6XZEOhZ+ri4UKLrKE8DQw
bsO97sINenoE8jSAPrg8OdvJbY5XhGFOoy4qEwXS1jSewnmW9wPJEM4fmXH/+pufxiJ8dd6XejTx
2skWNlquZ60zskBmeVMxbWsXvVn44PiqumaJ5mUXAeKmAHKp1HZu3ZO7rNRPGVgQtc3jt1T7Lhlm
TWSBmjrSDoU61GGZF+ouw3jolvpWn6W70AgLF79VNbBjrXn3+sufmedVGQsyGrcoofHm/LLGHo6B
GmVE4QKxR3p02Irh3tugNnZhg505xGBYAv1emUuUzzZXDQSc2JyfbzVVba+l2LSv0SjoXJ4t27XG
INweH6AL++3MdkNHHz8Z+r8y0eZmHVkm8tlpxlU6q1gCN5gQ+jQpL8Z756YR0ySbGg5SLAos3aMI
WisFfpZCx+5It+6XCf4DeprylRPbkVcrWYcqdN2NyLoqBPKylFyZrTajZ6m3aMlGgsanLd3SOrhR
aqX++Ouf2ALgRl2J1h8n2/GzxRoesCj9prgZzfeZrYvb1B5qRPyRCX19pHOTzV2xtqBBh0J5PB5J
R0UZUleRBppYXf8gFNmupfdtfOFwOI3HQNHRYUFC4xnkulm0BGPSouBejuj2rHihbkILStofWCc8
cG5dkjU6t27XTp8CZo+bYdtb6RpVjg2wROiNyuF+aXVi5kRglq0XYh9bCF8Pfa5fWLfnFhRABVIU
oKiwDTc3foo1rhgnh5CzhPpb12a0Nx2iW23QLvVNn/vSm5N/zQmQUKTPwHCb2xcZNCUe5ZAFIinv
4s50k6a7JwC9DQ11N8TWITXEVZtRG4XMpQ3WW1kIAMztvZ20yC5RdR+bez2cPlj1cHh9RZ1iccFo
4+u8kshBbaDceLyk8H+XZoK9NMgpfWIGrFueOdWKaynJ6JtFZuzHtKnvF0OtrnjFaNeHyxBYUm8C
p4ku1RDO5HXr4zyjnQiWaQQcP45oiYmyhr2UDnO9SxAduZmK5kve19mbqB3fjinEPdDgNAaArXqZ
2U3XSKA0O0107T6GdXhhnawDnnw7AwWqtR8NZHmzuUtwHzBsOHjS2tKvgHs4blnLwgtLVNnRz6Z7
HDvmp0qNh8O8IBH++vc5t+MdGhUoF7DrubCP52OwrCqWBz6PM2JRoykCJXqAXBdik7MvuYq3gICG
Ta1qx6OEFVYagzQzCm0TtDJs8RHLGsWnGo2hA9vew2weK9RRL+7bStcuzPHzW5xMMmkmnVXTokOy
WYQw7iLJqQayzFwheYkf+wEdamFejUrm4Z6zgzroGXxgs3cetJITyBHpAzXB981YB4sS7mvZ8rtW
cQsFqEWSXUPeusYT86YFk6KX+ENmNRJTwy3ARfid2aNcj38Yc32LX4hXq8nOMCIsFKY3sxzdK6Xm
gZHxQM04rpmnweRkiHypb6Yp+4Q33Lc1arUQtSU5vgaJtieVu9Ns9sfcXWVSGMjj5AoAOdDnyJDs
q0zU+1EzDikU0zoJb6bIuUYn7m7s+n1fqFeFpLypzeJKnqNvqE/exCPk5z5+ULNZheZVcQjmPne3
N5rV752kHQbbCMKpvAqVHqX9UVxJrXj3+sI7ez5aLPi1fIh8y2bdW1ofiRF5RAAE9EMTbZL3RRcn
PIbjvH99qLNrHL43oxGy0zI4Xn3owy89FmnPx6MdxMi2uFGfXwL5nx8FEVdIGxzGW4qTyJwUFJqc
BnCbxfXISnJNSa3+xQ2NwC0R58okAAp3/C5i0nIVafg00Htl8aNQTn0JSeqr12fszMdhIyK3huob
MeVzh/lFPbGGCpyXNHEDcFIwget6RoevDPdZfakjeyYSYCQ69LR0ELTc4uuModHjFJXpYDbt5XaQ
Mt2Ts8q+0ir8ZlOUUC/kCme+EvEd/j9kxCTG2ibyKCj1db3Km+VU4W/6sU/vZzO8hG0+PwrnJNXq
tTO7Oe8oIvSFTBQZFH2DjXxhmLsIo4MLUdTZURAwlH8G/tu1YBGljvk6dyXCdTdmgqYc+V5xoWty
di2sAhSETpRcVw2Ml7VlbuxF1eI+DXC3j/bouMz+GJU4tVh1tHt92T0XqzbnNDA3CzE2pg2k33be
oE6PUgelA1eCCE6RwCrTs3ERHw+NUscPvVRUC8KuVoYfmBnje7BQJB6vG72woaoiLnBjSbIuXPZJ
lfjcrNmnJlbFezRovhvhsuykqTM+Tokp8l1mSYD1ytnJ75QZgAP6MNagX/dGrRouf6N7F8kjNoax
MmLQNM1mSqxvKTP0RTK7bxZo1H2WOFDP5Eh3ymt2vFAeQ7VxoGsOxfC72SQp1gsN9teBMIbeQii3
EKNXKoMZ5BX4Yi9sKvVJJm9P3b7Si6tCGVTamZrxDUCKMbmYh1Z+CY/1oRHzXi3RxvLaqYcsXCEn
+Wa0gWMAPFTzz3XnqOvzzdPBxHCkdTvHGDKvtQvz97yW5bedie2Va3dd82l1W/q6LHRovbiPEdLl
zs5+Z8tc8S/xwDRyQ98hOmf0KD8YKTYL6mA+aRmSjQ1pkAEKaswwFhsQP3BFZmWTO1tm9diA/jz0
hYL6cYtCwi1z1i/XDVoTH0Rmi6uZcu+bwoybXT/HFb34Rb0To9LvZWMuDk5iJf9F2nlsyYm0YfqG
fs7Bmy2QZJZTqUq2teGo1S1c4D1XPw9aKSkmGfVsaiWdyAjCfOY1sMoTdcJKoFKoZlpmvXzBr8im
uRBK8ZEQyE5esDavqJXQtAd4u9nZUqOEdSkbyRm6eHquHPvfXmsj127S93JT9fdla+sHgdDekSXw
trh6QDjSprs+TA1uBeSV1NStLpf8qZWWU5yY8UFNc+9S5RSt+lXoxnCBX4/SRx3rSff4PJLrEcuo
xgDR3JgCFcFsRHeVOrh9cPfuCEqoqJrwh3Bym4DIozy2BtPSOqphqOy1OAhTkBlz+9Ptkfa+GfLl
KGxRhAart1nAYsgXilVTck7MtAuwSrJfpWKmvJ7P47km0/sbJ6rw4F7aW0/IMMBqqAETvq4/6rfn
UPTqECYVaOdinNR79udwp+VTeS7T6Qf9Nflgk+ysJkViyN4AlaC32ptotQl7S8G6mSy8QifVyYxV
/SP5Z4F+dDCxveyMoWjyUJkG7LDtGWMWj6YXJiNnE6H1j6HgMZHxLvZroDReoteWqwADOGktuolj
GJkPjVq1p2gh+IwG+YiNsvNxr37NujC/rTPeE7Ulh/QypmlcHWE6dLN0XKaiDCRwJuV3eBsdFQd2
F1sDu7M2eQncNmN2Hfek1XD+2144Jx0/P7+vZiNYrFLzb+/dnW2EJySBG0wb7EzttYD72/S49iOb
142Qd8nwcwLuja1XistPrbcnuaVGf3u8HbIIjZrfBtw8p6Od9hMiIenZWsDpRekE9CjSqRI2Ye0b
RTt49DiluxJb4UCtRs3rhOWcoM0dBF3rodw86xTMAVxQUqK+trURHg3YqJlCorOSO/yh6SqK0sU3
VUzyKXWs/NS1en2Wm0y6qFV/dJzeiChQC9ep1CNpTd8UctAmZgb2NBW4K3JnyPifYcaDw6LtjVn9
iD3Rv4tlnvQ5Ccys+RyO6R14lEcCOBxsED/vqr8mpfxq4RcqzPzZQpx5Ev1HtXfmg0O/8zLo0Adp
rq1VSPBA15tjgBqFxwAdotFshYfnqXPK+vLIgHNnFORkWQdKnM5KjbweJQPyLhdSRI9ktke3xyf0
nNmZcjCXnY238oy5nldXewDVmxsMBy046wlpcyMBoR5rJz+ZWZdd8mUK7+gHW4+OlFaveNaFJ7mJ
jZNqNvI5b5Oft0/A2xO3NipJ+izuRjojm8M9hn07W2FN0S9Wy8fMaMtLLWnqebUM+17XmnX5/xtv
/T2/nXC5V6MG+7kwsOZ09vUUJBfyFoi0xHgLVSqa5rfH+0Ucvz5Z+qrFAmacgjyljc2VojpsGhoq
egArKn6ttHgx0CjIIEGHdqdZLuYSY/+urYbqIziNhFp2a5Qfk7DVOlcrw14LasUqsPxBZ3cgICu0
hy5ubYT8wVS2PuYNKHDHQwqSZJlbC1Edzchl9L9C5TWsOC6uaJMp9RxRpuqj3cx1TYG1R1ws7huk
PNp+0r73jlF2bpsXTezKYJH/cYps/A7BOf+Kb2hHwAueAmssPW0Gv1va5a6JdbUO0J2k5F7I+I57
ePhhM6hI0hKgMim/wrWUkagRdWcjSBxm+SU0ytrxEpbqcUg60fuRKeVkKZKxuIrQjco3URkfPANP
R+GjuVJBWcsnM/MnqlMvU2b1yWmeky+ZIbXVSQ7D1e8glOSvczjoL5OdoCuOE9UkHmiZTejVl/5o
Da0SCM2UsX5yllVXasinJ359+jg0eaN72VxkoZf1snaEtt3BDhKyrphTpEgx1d2alKiSSMHlWQ4K
BupdpvX4MEh646CAjhIPYi5zc8rKGYdWG51Apc0snKKQDevRsnpGbRKLKnxmI79AXRnRhyM02q8C
92ZrAragL4biOWHh9kJLJwwbk9p2gtZqZ+waZA90Y7laG/hlbCko3duv8BsROdJGnIjp1xlVzwx0
8Auv5gxiOWwfKqv4wM483T42O9cCpGa6SchrrOnmekv+dkytCtnskLcosLr4cVw0a0axSX4pklL/
okgc39vDvXn+iFUpcmFxZCCfCJXlerioq9M4rpfkrEe4+LGjbOT20uHJ1ikETmkEdiJsT0mm/DVV
S3cQdLyJqdbBmSJ9Ftrjb1Bzy5Rr/RC3OGtYHL9ci95jLPhZybLcrfrqp6EP72/PdndA2r6Eygio
05G9nm0iIUU3VgMP2VCFZ5EV3QdzhrrizNRZ9RqDm97u/rjgAqif5iCvPItMhL65BwsJbhxqQslZ
7k0imFE4XhHOR3v6zb5ZRyGG4S3RAKBtC4lIt8EbiJhaHeGRisQfZVtJxKe4nfvTGGbZQYFnXaqr
I7SOR6GKojWdExwyrpeyQA5REXG95nHWOyQqqzNFJfspNHG5pfFrYcRYGWvb4qhr8yZM2Ay8CRzr
IWpw5SPhSfNEdvMlGoJwaI+QvzvLyctM2A12H/DXFmM3mXo7qMkMYKEs+rO0ZFbQLVNyMuV5esqw
XzxYzrdhCWRlIsG14rziErYwMExOJTVFCO0cVqp6MXuhvVbRhIdNxE5t7aS66+ZenOfBCB+UyCrx
W8aII8WD9ePtM7KzvkiA6sS9MDboa2/CsAqLaykuopiAeP5RGFr0LjEU+e72IKse9Xb7XI2y2T6I
FhmNZMMYDmPEOGHDpJ4qtf9SpYGdw/Ph0oe5c+opSCMaEpT4/Bl9Tc+io+k6YerFnd2c6KXpiMnJ
p9BcKVRzfJoTOg4JL/okyy9jm77vcpomAB5xn7QaNPX0B4oq5qntuvbgC+7tGKAHay8RpAdn8PpA
1H01hBYK1GdE13V3JIU5Zab8CVja4KsosB8M9zY9ZsOgr2LCWqO8oWz74ZOFPcjSWdE5Hup/rESo
fjrr2vsMyrmfh8argQXWCcxY/MgF3FE5CkWAC4H0MGjGH2N8199iA10HCcEVZ2xqLIVmdyVM/+js
YFt+krQxQiUIf6JQHSl/CFMPbIGt6O09tLOF1g4AmgMreA12zfWCkzFGOQKP8Tlpu5ciStWPTtTn
HxQwAh+VWK+9oqc47IrKCo927847wtCUXDindIi2Mr0UfxZlTpL4PFrlQ6QssZuFIc7wo6CPbVFC
7LIEcvr0dbJ67qnwRVhYNpv1D+oZ/9QGQddYY+2dDz/NOKOdKwj3pOE7XY9LhPSw3zb9ExSKFMGn
+rtllO2pzxHIjCrJu72GO4cdAjDZ74ozXPuf12vY96VpzA5rOBVqFzgW1s+OglDDfxiF5JHvBKgC
34LrUShyJtgyhtF5JI302dEq/MLZPjgRux8FzBstIQgUHIvrUfosy2ggon4EGAaJ4DyW/TgTyh3G
Bx2X95pJUEE72Aq7CwhvY1WZAP+y7axlcpI7g6VF51Z3ftSdopyMKMkPdvrbKgGBNKdcJfKn1Eed
4npqZRPqqQ3kAKWHtHrW69XcVkFaPyriPsD2VvhUU7IT8D/pk1TV2Es3Qj6B3Uw+AE4bvXGYdCre
uvE8LJ3u0w1UiGEba3lIq0K4U4ZKpSuJQ5G63dUBX4JgAVXsN34VGGsnYSfJfJIeoXtTReLIHOKf
/2F3UXdd6+Trzbt5SpB/Dhu7ZhDZbLuzhrnTyWyKyv/zUYiSYVxQsqEUtxlFszr8nOyRD70gUFHM
VuP1a1Rwe5S3iRNfeoXKrGI/UCa3EWreZ44eWh03aSSnn+tx0e+ETHfJXFD5RXZV8cGHQZ0YQTWj
z/qCjosFQgAoZQYS/jJOOM9iog2apSjqy8GPW5+wTcxH0V5mlJVbQ3/1ehuqEY36CPZ5wFvSfwdN
pmFwKxZPzpf6XjZQZG0xvllJBjq6zAKqYW8GaVq1R6u0DvTmh0B/WSWaaGRuq9DLUiZFn3VSMOel
8xwl02MdSfYFcWE9MFItfy5QtEXIN/xJUyr/GeoRAcAyTC+VUSovt1dlZ48j50dkT8dkFZxc44Lf
ErbIacemtUspwFS+9hHYUtw4hFrzp6Os+EmibSBUq+jj5rHDJgyGxYLykynUyUVAtbmLRXYkqPH2
CmUU1nO9QTlPW2ahLs9mVihLGAD4U/0GC+hLgjKfp6rJdFHBl3hygcXf7alR4nvzORmW1gVvKn0F
9Gyul7BNZq0xpi4MRI+YVKI8Vlpe/aAXZKMqrGfjuQKX7LiVUzaa1+eteDVCC6NH/FfRXx7lhUe4
suRXgHbzCzgxiUdYfjZTx/kQDXr2DYtzWz/h70zWoC1q/jGONfVHrZnz4lVWP5veMiTyN2wfMYOu
dXvGWi/rcv1uaiZcqxwatsILw0ztfaEt6ce0mVEi1mmwzm6SxyH66BqYQb9VUmfyE6OMQj8cDKz6
bEnF+i41RfQ0zF3y2OR9+Nc0Sjg9TU71PYn6WbhZCpHRVcHKvgx9pX9Sxin/WXRq8XdaRTXOspFs
jLQljYHt7CTkBVLyd6Z3zrsEgSPTbwuZoULK3BO73JyIwKyxArJiQnhfhiz+kdo1J6DM2uS7NDpK
7iI/gGWXWvafzWWG+Q7547NSLhWG3xp74JzGaoF5dteDEALX+mPSlf7ZTAoH4KVhNpcZfPVLjpGF
AepIlR6VRk/CkwZ45xL3Gj1qVZLFt1iyxy9FpbcvQlcWtw7l9sWme+TFRv6Y9bmEoBo22AWAoYqC
SzGGH82hNh64XayPgtroS52m4SmnXNT6TeHMDyVtb+fSScjwuxlyaJLf2G0l/11ZWWe7+ugkiUdO
ZDTIaWakCui1SS12uKEzBvC8o29KsQwImCtK/y4d4mw+N0Yl6d7/BJbuU1Gr4EgSC6Vrq9KdFykz
i3eDXBifBColuYv6Zvh+qp3uNQJ/FbmFnYGeVnLJpkAkZ9EnW5jSy5jk+efbR2Q93df3HTUqyOO0
wxCHeUMfiBrHmsIsDYOoRRoUh98cP0FFPVut+enPRwK5szJQ0cAgs78+ikQWtdpEOdVxxEYeqjb+
2fVZ/U522uQg9NybEwAxFd8h4BtE09cj4SUaxcMUMxKpQYAvavOwVKHhtb309fac3iLhgdeiTIbi
DXcn3dnNUJld2bbEBg2qqEWmSVvyj5JFp5+7QbvwkMx+rLd0+gEY+3E0wJPM8qOr9dd8Nt+QH8EP
kImBafVsLrmx0oDSjaET5JG5BGIyc9eYnCkodYSx5/4BonTjmqE9ekbYfi9SnH/y3ikfGqn7F/fl
VBofui78K7HNBzPWzJ99tUSXNtWqg1d+57tQSIJbSCYrcyVvFmuqLZwgSvZaJ7XDuYntfzD+6E/w
o0P39nfZeW10+rrAtGCG0HrbZMw29gQZRgJhEBpm6Q+5QbuvtyyfQraMEoTQsC4CCfLn+47mz6pW
teppgVe73ndRmIwpw1CatiL569ApM0Y16Xjh35r/YSlhOVE/4uAi+bw5TJbS6U5cMJSTxbLbJ1ns
AhjCdknploNZ7e5xolL2tw3HBvLp9bQcI+tHtDycYGhGYDIlHtwnRzLaU7uozkkAs7gbeXxPkqEM
fm1XxV1NJHHwlK9rt93jSOiQ46F9q1I6u/4RZpREM5UKJ1hSRQQUDWmQx5MdJAsNazRxm4/1RHYi
jOLoq+6OTFsFuScuFPbu9ciGnMephLN20EHuPhUFBgp6XNv30oC0apaM0SeMIxp8gQz14CO/jf8A
0lmrNxN9PPp5m5HtCDmVJoKD24NyxwGzUuhvOEdqU3unEmV/QjMsL1dq+/X8xpo2TVJMTlBIYeK3
qRl+h+31CLrOOmiI786HLATEDEWVNwLVOkFQLTLVCfTErN/RNSzZuckR2GhdlTc7Bey9wSOjUGpc
f8VvUbMBYsIh4GCUAimnodHaQFMm8SRXafNUUHk9uGvWW2s7nrrqloPMoTb3hoXepPEEysgJpCKu
n50Z0Zuo6qpTWQ45t8yg+kOnYdbZavFz0YxHff69q47blDyBvYK18+ZSTYxFxHLO8KFmjXdWPDnv
1dSS3F5FloV+F2QwOZm+3L5f987Eb4NuJabGSglBujFoS1fyR2uG6YNm5UkADy9/mR29gdPc6L5k
mR9vD7w7Wyqh4DKhBpGVX3/czpyWBlwSH5f+GaIhTenbmhAXuasbb+7i8gMSXD9uj7lTUaYEgzPi
LylMMonNOexNIw2RcuKEKPH3UpC/kJ7H/wy6KXm9Ng8BQilL4w6FrgZWGhX3DZq9biS1eYDPNXf0
vDr65NJM88T6YkhN/b41OvOduiBQkLNFAsi65qXWHfA/9IcD2vfqnaC4BiwTbVXk4Ar+q9b/aIo8
er09u93tu2oLgK8EnrNFpOvpVMblyIoahZThAgXe6qFvHQJ5nBJ+JAId1UyJ4gd8aTRXccLmSG5l
5/6husvjghs4AcyWXxc3i0W2xfPSlU33JMuJeEomu39qLB2zJK0on2RjyB/tznLcFul6t47r8b1E
HucXSib7ZmaJOzxq7MuItJg790N4Ejks6myuDW+QQVR2iz0+qNIiuyOSWyHinRdUttCRXHLzKRFK
dELfQv5k2MPktlWLzQsifyc5amNfVkGjTPwWz1xU5QGJQVTTFI3W8pQsdLhPvUYTRUfhiwaqHnf1
2c6XAkfwZP6qKFF2d/tr7VyhKB8i9wvsgcLXNoiWe4GPT8OeMnDreqrswTnhL6kdXGk7x3uVeqdD
heI1/czNho9zIwlVuyagNCQM8PIJsdNKSf2oaSkVzZnw1bzLAyyk7OD2/PZi2RW3gu4ntzeJyeb2
LhNlGAeD1xZMbn5XxVo9PEBUV3vPNic5RIWzmr8JI1XuqogDocYZumxisk4wwabZA/eh/1UkTf+h
q3BB8JB8kh9tOS4LVKZbDCqtREnu4sUa/5jRtLIsViYT9xJR+LZRkc2ZLQlpXbNC0S5SJDq8jqYK
eHZd+ouq975paMjNkVAEktMfgQj3TpEGopf3bq3ybbGoEViPaW5KgrQciO2s4hXVYRp2MZTw4Are
24IAtigVcQEB5tWur+CktS1k8JiokgwRlmto6EVyJB9swbeUNdaT4H0NgAygw1u16SnJ8UFbGiK8
ZhxxEW0Tu3HB2yLANxGqCS8Z0uFD2zTRS+sYy/0YikRcEkkktD/AdpIDlavxVTc5yYfbm/QX8nXz
5K8FM7BVVJQoLK2v1G8hRulYUhpawgnGDhchyfk2pSAN5T4/FVi/VmX2MJTinRNSI4n013yU/86G
5ama8/uoqbAvH09jlXiGXHwYKIxXneZl1nSRlPKkImUsOdDqIzZMrw0+HJ7GVZGWOVjfnYeUot8K
G4CsST1uk0AkwuwzKA52QIIE0rUHn5JXve61uvGoOF3nWysw9GDd1q2xXTca++AVyJUJ5Df3ipjl
rF8W0w5mq28/hklqPDvAJgqK3lPGdOvOccnem78hrqtfQVyPjdv2znepoSTl1kMyP8+QzX+EYBsb
X5+mp5TqfO7GRpL+pUoKApczSqlfRGZ0MY5paKh6cxiqX7MwVY7YvDsPJytI6wRVRaBO27xg6tGw
j4vZDjrnuxD58oD0bX5XVCDK7AGl5kbOTDeum+ykRTAfbi/lTo921WYygOuAqIVQvInaRaiEVgWf
JEjpB2OiWD8oYXuW0uajHNm0vpUikHrxoXCU19iUfupQZdSkPZLi3d1FFq0j8qNfz/f1QVCQQ44y
wGjBEjnvlDFe6/d4LwIti05OWONgGP57e+J7tw9oe9KhNQoEznQ94tgLtJ7Ii4NKGdEgym3LK2Ou
oNuj/ELObHcqNxweDNCLYTJvT3gio+TS87x10fwN0q6NDV4DMQWAOF7QOSafGc3wiobK3ZQVzQXE
ce/h7md8ssMJ8mpi6WdTierzsqyN26QYL7Sy48cZxcYHxAi1QFSUbyczFu9Qdf/zhuUqqr5iglaQ
Cd5C16vULppUtJVmB/WgZg+0+NRAVsfWjSO1OTtLKj1FkjQdXCm7n4YYGcYzDDMQLteDUg9fUGZZ
7IDKTEoFszYBW9ZHntd7x45CJWwp2pVkeer1KObSVI0WjnYgFLsMYC2ZlEVHJ6iXMv1kGEn7iD29
85AXg/2hEbU4ClDWDfZmZ1BYxASZqink4evxw2aoHYE3cZDNKVIrhGPEkllyV4KM8Lowdj5YIhmJ
AsbFla2M6rnZqwc/YnelV9gXSD5exy20TqoSoFcD1Q9cZPEpDS390iG54d8+BLdHceTNUTPAK05U
zu1A0pr2sW8LFAMcqfsvcwEvpwAwA7Zvb9aTqs1MgaVlqyo9VgO9YvmRjYjLf5gLWBb0jghpgbJd
fzVhZFqu9wN7M4kjLmTzQ4Ea4sGlvLc1AeHBF4TntGqgXw+i2kWHZDC34RQX6rOwl+Td4hCISbOd
XjRhoRkytQg/1KV6ckCbHcxxL0+l18UvwJ8JbumW5R9aWlbqqC1zNGILnam0WeB5Zz3mBrVtf+tM
J/2qa9lUupgqyYubyIaU0c6Nav2ejDNzXKx7qgiXnSL82Q/U3FxHKrHxBGhk0esoDJRHlZl5RHWp
oLbXODB9zVQXg5fVVvW84BMXeVrPX1fK6rWTYjn5K9dn9Ko5ov12+6PupSnE2vSNicFA9m/eQFAZ
cTXUghimhB4OxB2Tx5RXAYrmeEnJqU+d1hveJFvzh9sj7717K0mYjiJ3EAyL6y+dqWpt0lDnFVqi
+H2DHYRfm9lXpWk+2L39GlvLEShyDY22187vI242sC5sAC4y7xBayj5tlB/CUpcLzC9vGRfp4Ezu
Bd94b4ABQ9YXXtuWsFc3fdJnPa+sGKXia96UE3a+6Hqf6hatipjI43FpUZ8tZulzbHbO/Wob7U+a
nXm93f8Duv6PDQIhl/Osr+w+kBLgia9XvHEkfKxpggQRqm+XotCH+/+HrGPnu16NsjnByxA3UbRe
rNg5Z2fUxPUAVUCTrmLbvs+iOXmW5P+QT6HBhjnoWtQi7dauZ8beHSVnvWa1chlJBJbZM9fixu0d
+1bAiwVER2fVuPmF89lsIDOG7FsCVaS4pA4vRu/ExCt57U+xEp/aSLE/N2k3B3MbNn6rz9p9qRX6
d/qPw7NihOI+ziTJW3pgF7d/2M6lSSKwokLJnmWKitfTRy1W74YShZp4MRuXS7JdPSfJlHrZ8PIs
p3mmSUowGNoXW26GT7dHfysi4yDptK4JEgkw8reWFTmJyEIzIwxIGYfGc9JofIpDY6i8BP4GEn34
G/qZ3UavSr1qp6yk/thNJMl6WLrawOkRzDDG3yQovkTX+IQZk4iDtEzEehY4XW5mC/3gZ+/cfJBp
yY1XUijAyM39Y02qIaXjWnFy1PFp7vv8vsYJ+LMjYuRFBvRSLApfgdyG5gH3ZicooB1BrxiqOpCR
bW81kxUKZz2iCNSO+n+UdMKreljsA/b9zii/IJCcdGtVvjWuN4WTinQwF9sKlBmvVtexK611Db3K
3duf/+15h24K0HLl6XHLbcvJsrAarWwHKwhbR/iylMWvcdrgJq9P1nki7XFzJ8xe/3jQtdkCuggo
zAqKuZ4c2xFXewXrEj1U29pdbGd+Xzp4eZtq81hWS/GjsSbzIDjYudIpG0LCXAsW6Ipt2zx4GiXU
n2IrQDw7uqfg2r7OBrUFO1I0tFWpl9ZKFb5rHDAn02Q675APqYLSpInZ2nSvdav684SBMhlHn1rm
CnXdYoLi3g4ju9XMQDihuGhZ3Z9xuK1Pt5f77cvJKPBc0eMD1wXN7nq5K6HHCd5lZoDjnbg0xBM+
SiI+inoTSUp5JCJ7NNxm67aa03bsKjOABWR6rVw1J2cAwStbfYhX/PDnUTrHn2SPjhp28Oyp6+kl
QmqkRZrNYNKq5jx19GBFJY0H2+fthcMoa4DOHY3Z47bL1LSmhqVDawZmqGa+FrbTy6BFGhA8ifGw
RH60QBx4SzIdkQvX9boOfCg0gsXm1acoTMP7en4iqpxczJUZgICWvFm0yOHpor5LMms4akW8HYrp
AedgQSEObSublUAehwDSCJJyVO9g5IV38pTV6cGlszOjVQAImwy698R0m1CGmkEeQboyAhFL0UOW
pOplAEYUlLVVHtzWO0PBqqVRsyIZYWFtHle9jxGbKGJ43YlUIp231B7OI45flctRKWh3qFXYbvUq
A561+U5xGydtMzp6UBhJGUgjErjRqI5nBR7hwWbcubXxBDNlXC9WQMAWjk0jreniRdcDXLDh2WYh
4o9xZLyTlyT7ojSKfKZktxx8tZ3OBMvIKdBhVEOC2lLmZYWkCXdqDR1bkuB6RNpuqmw/FJZ+P4is
QQdz0F/HSP2ROlryIdOAEeIFkwTT4jjnODOU+wUtEd8UehdEdiaCqm1kt0PM6NEKx8+3b72dNfpV
JCNexj0OobPrY0NGEpIELvQact3msuNuCDwdJNqlycP4cnuwnTuPvJP2M2uz4qTXvfFbPZwenWMj
/6QHuKJrD4QexlmapQGdQwxQZikf/xj1T5gFvIdsF2lOEJbX442iGjnCIHLDBdhmo8Byzu08OZjV
zo7+xVbC0HmVpdgeHisd0roSCaOYs/5qOmI+RWLpkPvnOr+9gOsP3lxyJLIQ1GkeAQHfwlRxJBeF
llpUBedGeQ6dNkKUIDkKtXfA/ohncYsjwk0zm5b29brVuTUZSLaqAWbF0r3k2OFrm0UVXSl0TDI3
0aXyZNfVdIf72PRvXjZzUEz6dNegD/FMi8Z4cEzaoUZSlwuiO0KgT6FkeK8ksdtb8dJ6gCLN94aI
5+BPF4jmMOXMtebL4bM2F1mn1WVnVrYaZAZFdlGFP2y7if7LIKuUC2Kg2hoRXi+PUi95j4iyGuDn
PQCRK9tvZlQXH29P5e1hwSaZNA9tKYpE9N2vR9HzKEsRI6C0jMKeSx8m9pauI00ARoFKdHLI/3v7
dl8PqF4PKI2QvNPJtBC7kLr7WTQltcs4/3css+Q+fozh+in94JGeWUi99GRiyRQHyEKNf+U4XcEG
t5zXti3rk5VQ4ySHLM5thcDe7XV5e9z4mbTV1vIxDZVtw09LlhrQnmUFc5LVXt0TCFaj3LtgAbSD
D71DiWQstAMo4nJf8ZRcL4kjxQ4YLuy3kwgpRKhnja+UpeJJdToFYVFRKUe++06uytZHqWn2h0yX
PLOoi4M75u3B54dgbrBWcknottQ+3SFDg/FhBTiSDZcxRFtem52j4tEOhI9hYBLQDoAw8wajFBWL
aEPa13QdIuj+kJUuURj3bm3XZFdGhfrLjGSjwIXsoQINjUKkohx8372prq6aa78RHN0Wl1WmMWkP
Pf8gjiwdz9W49DS51//4JiXQX0HGwBdILbYtRrmylXI1ZAqSbrT8cB7nS1pYxen2Xt07UjSlCeHW
kWBQXe8fuW8mWDTqSmmzAAHaynRRFuvfMbZIulUFxtOY5fcqMcBB6LN3SFaZ87XEu2r3rD/st5cW
SdkuFLXOIi6V9dC1RnhqQ4FVuFIcDbV3T3E7EXoDMUWcZJNY4KmgSdXM9xr7qfCHlI6WoiQprsod
j7qh/3ki8ytFo0UEgnYl4FxPTUHpupWm0QpMdS7v1D4Rrhhi+yB02J0V9/t66tcLeDOrQZlX4P5E
ZaGwbI+uSUUanhSXJB8/aVMt3t/eKL8oYtcvO7NaG3GUaggftwc8oe4Xgw/k5AFqOpVFPXmh06tg
kOcwUCMtulu0gRYSlQjAq8l0r+INCemjEpd8Qo+XQLHzFbnT7+RUQzUiH4TfSck/MBHVJzp5CpBf
o7wonVLdd9nw1yKgVzgK2IQhzPvnorC0E6SHyEULJPIVpNj9TgGHEqVhAdJ/ic+3J7y3vlTRCM5W
qo+87Utrda9V80JFRWqEGgiRhQFlB8aDE0D7UVOOMKXrB9suMNfa6q1JHwCp/+ttk9EAlMPYNoO5
Kwt09nvHs1hHP8ZTw4sirXJb6DEXNHfNy0j8FcA8wRhgbOLnRB/tS90PmitFyxwYC4Y6otdHb5Zh
kgxtrrho6Q9PPaY/jxHvI30Tu713Qnu62OYw+v2ygj3HaL6zFqfxgIDJpeugJnypmhB/ZJw9tBbV
WrO0XUaxzXLCdis1zuqspQ/lhLbA/yql6aKkaawgyyFQVtLS3ouUd2+hyfjl9sfZu7Z+X6vN5q+U
OmaP0SBqHbV2my7XPhudoTzXYap5taaaZ+TlDM8BNOXdHnnn8gfPhZCcQ8pLEWHdNr/dW1NUOnpr
JVzLg1E/9hPa6opo28vtUXZuR9BxPOnoma535Ca0AiU7ZSbs5mAQHbaPwqguiVY+TsbUHlwjb9Mr
7Lh+G2mz6/JcQ+pcRFwjUWR4mlqMWGIA0pYWIEeWhGVuI0vNf1lEuBPEwGuQunU2keBzdHWb8uoY
xXQunEqiZ5Ae4Zn3FpFqPO2xtQFkbAuFcR1HlV5RKMyaHoUaWSrQSxvV+04yjjBzu0NxW6wAGrC8
W6PjWGqSyFCERbCZ1X7tqB9g+6aXtgSlcHtn7LQ/SHl+G2rdoL9twDIXPZhd0wwk07CeHCuugjYs
s0cdDlYwOWH1TSrFz9SeOtcc6vg+sYn1+qKx3FrIzUNfmD8EgP+DmOj/8rPof6ATt0Pd6YbCSbo8
51xohSyfLQXTTH+2S1U9JaVsujbcL2QpknF+rvJFb9zQqNsHe9Sr1q9xwLiYcwn0DJ2j+mvWydNR
8XQnZaT6vjY5gQfjJbUVDULgio8/8In02ER6Ig6qcnpYHOub4izPsQSqSlZIYHSYb3H6Xuuny6DG
T+OKeO6z5P1cSXemUnwujc6bNflda0neuCBAe/vzvr1eiPYo3PHwwIZBHOz667a0Hzu1NJYAQf3w
DpW33pPRATzYRG/ftnUUMvTVZ5gkcW1l/baH7FA2esTIlsBo45psQDyFWfhOGVrTs2Sonn86J14j
StaAkOC1vKngVH2YGBCV1KBXtTqATCggsbbSp9uj/Aq7N+/nmn7AcCciovKwmRRFImtpBeVxW5JC
kAH9OD84RjScuqRD+Qs/qiBX2+oS4XziVks5XrC3q33iYnGaJ208SVgGnLJ8Ti+SEPo7p0+XR3M0
wb7zvJ5Sc1G+/A86hgIK3sCuvcL0Wi6s8QSuRXdhTB0hG3egcWxZqv3og60I4q0M37zUc2Rluhms
Gns/5qotXfR1Bj+VdbTdw6nzJG1Qz5KaL+9jpwB06SQUP/LcuNDYP+Tdv92b/ByKVCuzHabX1ocD
/91pTlPHDOIV29I2OSpGaqSfjVDP3VQsCP7aUuLlqz6hLMx/m6EYIJ6LzCWyH9yxkfuggcZ6sL3W
7/rmu1NMAUpO3smDeb2ZHQlUjyBYCNo4fCQkKj6YWVR/6AbEjCtZ/tdMrOqSQ/kNtAWFytu7bm9N
yNJo76HTBVNn81Cr45ClZhqaAani7CvJtGBWlBz5Q789r/DVUAKlXkQ0iirj9RR7JRxbit802sr/
w955NNeNpGv6r1TUHnXhzcTtXuA4WpGULWmDYEksJLy3v36eZFd38eCcIYaa1UTc6E2pKTGBRJrP
vAZ3Xivohpt8Sj+Z8DR2ceu9HcnEcLjEgcd0yM+WEAVJ1eii2rH3nQicXTAa0bbSUdJ+ferONPIY
Bs8Kk1o0medS9CtrhKEpAw2mPEk6HxmldEPJ/cusV9524r+/DROSG3VtXRlhge60e+sq1lZ04+fX
H+R0drGYR2YSKSQYagi7Hs9urTeaHaaDvh+n9CvJqr6xFAjQoZe6QNLydmW9nsYKDAdnjO9J2R+F
tePhKqvHGdnO9b05K0rnU0Dq/D7NxLVuF+abG0HHYy2XJ3cqqo8JhcBAHW9su//h6Mhp/sT8YTiE
WjW7D/O24xdKiyCxahtk5jTBUXU7T90ZU1nsnLolJ3WmtcrIuQm0IF/LSQS4b8qQ9sXthSXvJAHD
2n50ytYv0Ku7I4zMd42ljbvXX+3cUBTwVAok1LTpPhwPlasZihJoewFPyNVdFwEhU1sX6zUnSFaG
OrcKbflaHCJQJZftT3R9IZDjCkGqaZp3RlGWV8j8lrsQGOB1UObVyjKUq/r42OQupigCQ0WSM5cY
P47rKRFRwavNKiXBgbLeLsL6lYyvzXaBWmVbBVbidky9tR1wemgytE6PACYu8cfShxLAeaQ3Yart
MbqvDwUOJn6Owc3KhJ4fhf2MzBHqe8uyz9wqU6W5kYabr2Zu2o4KE9oHa/5m51YIPVBSQWSHILct
VkjZ1SXypXw26QoAy2uase4sMZExq3rlhc6tEEA53LwkTiBWFpsZKW0NZlml7dW4Sf04HO1tLTp9
G5L5+y0k4pXU8Ez8ATxYw1YNGS8LySn57i82mkTpzYOCzHWqtdG94iIYZKqh5Sd4MuwyFpDwDfTE
t7YX6Bdqpc6Xpl5Vmzp3mk0wlPnKij19fx6H3AcZGSnqtmydBA1pKk1tdU8lyd5NhduB4kswdYM2
uoNu9fjWvX883OJayNVC6zmC8D1sXChQahXtB+7LPSzjj6+PdLpSiffZ+FIxhrhseaA1KClkWc5I
Uu/j4FXBsEu1vFqxnjldqbQSuXmot5JBwkw7/ppukyOxW3gzYnNNfklIHu5z4J+XlN7WWszPCPnj
wwUkGvYF6McCC6IFdTyWl1dZSLap7ruuCYzNoI7BtznXLWNbDSj/+L3SBMl2SIOZqAxX9esYoGm5
D+tCdFf8lSHcFY0ulIMSJGWPMKFSP0yja3ztzdioNnPhzFuBZ9+7SgxdjoHKDBa4tdsaldo8cpv3
utJ9t+K+/IRXWKz5QdnNX+I5qAe/rTsokaJXdDoU8ZCmd8IdyAMyLa409H8VpiWpgb6OTvFJTQcN
vpsxmN+spuMMHmW/ZfvWz2+TzwNFoW4gmeuLIwRXJ3qmdq/uxyZrD/UYqeSoQnx9fZQzslmcubKe
SceCoshS/UAQnEJFQ0M+GBX6vtEg3uX5XCOghypCfGOVkxLDc8iteIuVWQXF1O3bey/uDGqugTHd
RIo1XCdd0N61cxLADARntZaYyjPseOGwbih5ycYKdk9L8MUM6SmtS62lojyiLW+XYkP/w0VzeHDn
cTsWpjL7lqK76qHqU+w6g8AD0tuktjVQBxnMduuBC72mJBI8Wk0dZdIcq00vSzswsgvHa4kR4rYy
wDZEzc5qHGRCjaqMHmkU994hjCwGEIjIzn5j4BwJJcuFmFmAvcp9kplc84EglNXGbIrgwmipAsJ8
1vV30Hzmm8hpnPeqOeJAplZt3mwDB8cwH7UykW9Qm+x2mo5YyUYLLG/040LtYXf1enMzxWW6ieGr
whTOkvyxsXLMXRtV0b5GBCi3UYHjysWUTVRvUJjXdy7a7wWQEZDqmyBGj9hvRG2O29S1uv7G8LKG
jMsQ6KUI2pFUginLv76gTgMIkDgEYKAWQDSZS2jjoCaRPubJtDdGO7+WnNatMYjsXd0qAFoyT0AG
b/I7OxnXhGdPz0tGBp9BBZHE4YRpgVsqbWCP1nxtqf2FDix1a7h5v7IWz4xC1mjgrsLN56BacXyG
EWSayhBTJGm7eEBKdsb6wBztNwNEMa2Qe1+yLwn8FqeyZlUOwnztvA+LNrq2wYhtIjtzf+JdXo6y
CB2SCqq4Udcz5KKq22bVVOw9Az7X6yvi9IbhXQB9ECswYShIHM/Y4CaDgvIVM5bklV/UkeGbST5v
Qk64leTx2XJwcVAApAMryJlpkLctko4qrY2+mnRwHWZHcUGMWfqlJquqr1JFnzkRlLS6aUY1zK+V
pIY1LYwBn5lQnQrFjw3FtXftbLaPZSn6G881RXAwg6n65FH3Fpu6VOC+lZAC0fKqPMX36rnDtK/I
9XdtAGd221davFZFPrOjWG2ykiCNF8C7Hc9fkmAQNVEd3U9u4l5NQxvSxmkksVbV803uNspOySYq
8kI4b76DJKqOgcFYEcQsiVhpPsQ44sR8utBUt2kMPZ4Ssvozo0jEoAS7uaSKxy8Ygut1osmd9iRC
1FmtbNgqRrCWXpzGiZIYQL72b2TK8Si1WmeQGE0oAJMhPs9W3x7AKaaHAgGgTeYhPPf6sj/DsaTC
R6NGVjHACy4D02G207qjF7vPQD5fp63eFxstmr+ERoDwNpvbH0uiYW/SrM+wpbx7XOTLgwNW0jfc
Pn9f53NzqRZhjxUY3g1KryL/FhVgmga9ujDrigi8jH+YrSo+QR/KV46g0/mSpw+nKRUQYAvLTrLd
lE6nVua4r01t2A91ntyIKbI/BNaoY+zb2SuB9RnQiuxswTlEmBLlB3NxThDc9AHKLiOaTx4I7jgK
ryLRBFejrn6yRyPeI1ICgQTNwwtyjmyjFWZ3G5XGp9e/27nnoGEjg27ZqaeqebxQqimIbXVsBwCr
efk7sK0UchDdv/uiDOs/FYWiDCCBIct3RjVMD7nm1A5+cM5jbg7ZmlTF6eFJbie13ggDJRdyETKP
aWSxNJ7VvOkpGrXT3VgIzW2zKdXffBsAF6Kkwa0tEeXW4s5xYoFpVMpQfT+E3/pJ6bYN8J2VfOPc
9FK9ph5EbCC55YvpxQfLs3s7HfYUuD8iqhNs0p5u7TQjGDOmN3NrXY3OYG4Uvb+02vgPyg1rQLgz
KSypIkkVaRWxNaDo40+sT5bTp5NgWSdoKFmsJDwW9fAuNY3Kp7ZX0ATwjP2Yd9mmHabmKojxciii
sN1kUW+unBRyYR9fWjwNFSu6O3RfSKuPnyYpKX30itXvs8g23pdNOW+HrghX2IRnVhIa76ipyZ4n
1frFNaJVLvSIhlGUSq8Q4g+bD+1sd7GvKkaz8kYnXRdJWZTFNilJSuq6rOUMA5Rw4ukKOltW4TXq
ZdGXtDSmP209EkTMYT0Xvo2EckfIWnao5eM/o2dZZ+7gPsfkclWRmAD3wjnzu9AYPtd5rylXuAnG
NUoJaU4EC5PloXDV4r2Dws+PtC+wd8oxxI17lSWD85e9liwtr2L5WtTgOJ5kuwNw7vGXUstcMdEN
w8QGsNmOrNP9OiLN/L3LDWz4WuE+pIGVfnOVJLw0i8G5NUul9JFxpnkUIXNdmn19XWeOPvlxonq8
lOZcAL8FIS3glL9+kC2XlXxYyqBUaIAbScDA8cPWZanYwdhV+8HMnY2YZ4eoZZhXorvlNcEorCVE
TChao1y3bNoHTi0FAuJqD2gMlmhHjpOKsvCDaPqWAyR5/Z1O+GxyOOq7EMvA4EsU3PFLEYy5rZCo
JuSLv1uh3e7nitBE05TyyqjH9MKdrQZMZWU8mKMwL1QVU1Mvi5WLxqr+iOuB21QPm51XwPNoxsy5
zkb10uuUae2cOzP9Ol1lielFx5v+//GTpqCURU80ui+ELd45UxXdGKnwHvTWri81paA51BpBjRFF
XbyHjjm9j51CFv0nICqxGZf6Zm4K42H2zDVV9HOPxgFMvYzsgjLM4sDJJ+zQrTKr9iMu7bD4DLFP
inDN1uHMZiH8YRR4BdSXlgUMp1JxhAlKfKinOn2HOntzi81Uv+mi3Lotg9y+RYY22Ql0dVdy0BM8
KKsEJwFclMCbAwZfMq+CTEd8D6uTfWplnzO78PzQUNFhqRO1+zDiEPYuaOC/mk3wtUxsxJmTcVj5
/svjFh1JavaqSyEdShEVluPPj4ezpQ+O0e/7GRfyqLabq6qmdIWSxpq6+NmhZKNKKhZJ4PXxUEig
KlHrIrM2J+5Tk0zG5VREX+ysXONBnMyrfCmbZIDkiowAadjjkZAKL7LSyfp9FeBDqgpceZwkMT7Y
Ux3uqgSllhHVvG0wpPXHRM3nnWm8mUvAM5AUy8jMI5Q3lleLHTLbWu91+9kFdGFEWctl0a4dnmfm
VKberkn1VcUneTGnsTV78CaDDqZrnoCjbIINGVJ3nZH8b18/084NBSfLYl6pp9NhPZ5U0YDGcwq7
A3qScpKZYXpVFFN1NQ5rWnjLHSmnDkgo+4JiOWYIizU5W8Y4iJB+u3DUfBMqtFk610oualyzfWM2
mveY97Z7QEJrJpknvmFyaPSkqDRzVdA2W7wkfm1GPZR1tw+jqcMzzNB8q+zg1Hth7WtizinUirz6
0AiZfKvzwe4AnnVaXV5PwisvAp3klu1m7Q0jS7A3NOePVZDHK0nPuW8hDdgl0EZCbeTPX/Y2aGEE
AjzpXh1AJNgo1B/qsOx3YIWtlc++PIRBTHAF8B2oWUm1sUXWSyg/dXjLV3uvLdXNZBIQdUOwdmE+
K3+8DC4ZxqIuRt1Uwt3g5R6/EQVP8BFhIavoYyJ2Re2V3wKA5TO87Vi7or9e5Zsksbzwaz7pteZT
y44jNDWNIUAG1za2okqmDJU8I9mpqdAPwxBqrW9VHUySsofC7mdF2kNUo8Y+Ag/FdcVXMidX4N42
0ZfWCsiKYoT+74uYQjPl9dYCaxXXUbNJ7dz9we9Qnyyzaz+VphGG27hv+py2Khw4n9XEQdMo6ufO
alvCitgSgE3NUYl3elZb2d4LLMQ73FzrHqxew1pXV8de8xUtKq4rZa73TZ5Zm4qvcJN1DYaB9ArC
eBNBqyv9jO1w15o9ph6vb+plWMS0I5gq737J7Dw9/r3YHMzYKvdp0Y9b1UjKw+D5+DCVWuSsjCXP
osUnJvyifE+yDpDKXnxiNEImoNlZuQfiWm8zTw+2yPgmQGtoUZeOEmzR/Fy73Z/1v45HhaJm470q
K0TEfYsgoiuheALtjnjDRgEeGplpss3sWhqP97N3Z1Wp19EUHGKwvgE/RuGwVr9bjsBLep7gpUT2
FHxDhGcedpMdTe+qLimsg1m0jdibOgq3QR3YCY2pdC53I5r506Xt1dH7CaJu7ysCFvcuqtpA93O8
HXaBJ9BKM8jPx40SGyM+QiR/+pY2LRx7J2tDWNFEjN3eGcIoQShCU1GfZ/0nPuZg47wb3MiYLutk
nL6rZtbTW7KLS1PaWk4qVlgMY3YfFTY1TvJz7xXcCxYsk9dXznP/9GhiPQIzdgkCfFyxRJDHOzav
WjVTyiah3sHnjJWYvmnWdfN9NJdJBqmkSHxdrY2cPZSI9qJtS6OlYtYq3+YUWapLde6LJ6ObI/Bt
lEr9LsvQaZpE7Dh+UPXd+w7o8J2q9dXOa+am3ZlaYGsHFK+Yp6w3kgE2t7RvGPKpyO5ff72T3Jtj
iMUirWAMAIB8gOPXE6Iz2qSro32LHzbkpN7s5q1pKNV9MHmKg1dk5JWbRBHcEymsuXrbj6WXbsoR
8tiucE2NSnVQ/Ctk/K/v4/8KnzhZ0iks8uaf/82fvxflBPBWtIs//vM2+l4XTfFn+9/yn/3nrx3/
o3/e9U9129VPv9w+ls0v+y7/8dhGRb78N0e/gpH+epLtY/t49IddDtBweuie6un9Ezlp+zwczyz/
5v/tD395ev4tH6fy6R+/fi86hJj4bSGP9etfP7r88Y9fn2st//Xy9//1w3ePGf/uw2OUt7/cdN8j
Knf/+oX/+VdPj037j18VW/0NLBRuLR6QWaIiiWgenv71I+034gqNtcv9SZVVMkFyFG3FP37VzN+w
yeRToYlNQIwC6K+/wJR9/pHxG/Aq+DDUCdCbxMHv138/39E3+/sb/kLN5R6Tmrb5x6/PWrovtw55
Lr8DUfznI4kO2PHaqifoQyWIgC2+KHvS6sjbNaNS7tVCXFFEs75n1O0/DMJrb1KtHix/Mpr0kEzF
dWQ5+RPFNrPwndahqkd7zPTh4M6PrRuKm3YY8pvZVuN0OxcVyn/ECd2dPtY3RuaZ94mie495EEX3
4RTM75Uo0jaha4nqtoGKCA+ttSM6h3Yxb7RsUvcZLl75rrWq/vPs5g8ReUmyUdMguxjRWnrecf+z
tF8sUgmO+D+v7M3jlD3mv1w26WP+o3m5uOW/+2ttO95vVHRQZSVnZA1Rt/rP2na132hm0lfituP4
4rL9e23zr2hbsKi5BAmwZPz177Xt/QaXl3MO4jglIwxI3rK2T0pqEv8FLBANOfkUlFuO13Y+9kOe
lwKpoChpDzEJ7p2eCX+cobBpzRjuW0OLvqKQ9MMd9PDeUUcsWuZmq1YaXj1JH3D5FR5K4lPhh/UU
G34Zufquz+bgvjH7caP18WVn919TnKa/00fVLu0RCO+Lif9ry77cos8clZdb9BnGRvOUjgRKqSfe
gwKF/Kg2wIDMBidwmHxyyqn09WrA4sEeRfdumqaDqKZW3+iiJC2Iy9HYFGHRX9C2ju4KnSZJqo32
TaWMxpWqUpMt3XyEJJD23YfaTcr341x+UdM15ZNnbuXRo0NIlGgc1oEhG3GLgpruJlEVgsveNxg4
iJ1m1h8RThq/FmaFnpKHMMPGHsvisZjM/H1ZDZ8weVVv8xDHnCjLM2NjGnl836tZ+Tmu5nTy9cYL
4GPYneqHXjY8CZTfL3PRfgWgaVxmqugfQTHrRLdTlj+0bldsFHUCP4Dk22VNCcvxPUG64hct0HYz
zcv9JKIvqp0G4ZYTOiBKmiyB7l1EIf1/TpXlhQnh4sXqlhfy0YV5+1i3UR5V3dPLI+X5H724L5/L
ByQBdDafLS7+vi8lwYrKAr0dOmxyP/99XwKSsrlGSUMhzry4Ls3f6BPwI8mmfu6hvOVIeUZsv1zQ
8rCT6hlIKUqvgaUsQ9p02NUUAlohvE3hE7gFF/GUI/hlT9P8MesFwu/wiqgTGiCrwm74Ys+N+ZTZ
IngsFeeCdmqfb/UyRk/fpLD1RTOUQ16XxX2fjMoHs23cmzmuvY+RxGc5Q5weOn3wtmNS5t+gwKsf
iyHqnprSeghDp7K5j9Ue5/a+uo7h2dw1mRVcCcWi4VbUjuHrU2O+c+siIJz3WqpNvav9QKnQ+p06
UX0/9QYGVPPYfAhLHTDk2GKq58+R0X6IFezXKDmkf0KY8Cq/mrSWKB543WdNr4wfqLE7QGM8K36o
x6yjXli2qa+Pplls9NQw8Aa03MxPQfYUe6Nv3Mu00KZdYITz77YdkDC7aXFbVGr/Lcgq9mU9cCSp
HjyzbnLCyU/Iai4LL9F/kBGGhyrBRqdT78tg0D7ZiNn+QCCg/WwoBfm0EarqhaPn3oaTrNYRPHJy
v8de+NJz41T1SWvNK7cXCFRMYzf4QiTR9xcr+cw5vaxOoKYnrX7ogVJlIz6TP39RCMmTWTPz0Mu3
lo2eDtGReqlOyl/WTm8KTe7Kp/xDWz89tQTUyyj6KA7//zfylgHDK+FJ98dRxC3/9r+DEkJngmlZ
RYDwCSb7RVBi/gZ+WQcZ4iLxBh6XBPyvA0Q3fqMjQ+WdJjb/Pz3sl0EJtSbQhGwIqU1mvOUAWS4S
jicEPtDpA+jMMNYiUy2qtk3wg+4PTQN6oza0cBsJfd6+mIwzS1GWL16eUnIUFNVNKauOAuaSTFMq
hVMOdtoflBKS8UhjEDkAEW8jxVhTcF8bitl+ueqhMQ3AsbL+wBN9t1qkEQM3MDeIy6kr7QFZHVm8
FNp4Ut2QTjs9isVIrjukZqrr3aEoFHjraC7dZP3Q4ITcivLQe155yBq1AY+lNV8HrzZW0BZnPh0t
Sqw22NxSp2/x6cAbBlLmuaPOqtu0gD08fgOjePunI9JjAUsKCGt4USNqStFogdS900pFuZ7jKroK
M12Bmv12OiG6G3Q6WYfACqST1fGn04bMxQAFx/mGS4FahqQoCW8NjnFm2gCnsBjRyPKsE7mD3OjK
0HWC9qCrgQdcoHU+0KZYg7SfG0UaoLDsJad36RbbOUMUpaXZHkq3Na+nYgwwHWrWBDCW3QD2Fd+F
dJ7zAZT50hi1aHVXEp/bQ6jn9WWlma1f0rO7BBfrXGGm7WzQPPK2WaSuKTmfez8Xv1d5xch8ZlGw
VGOFalzetoeuo8gD77vcDRQDd289NwB2UMenAcfDgq04XhHOrKIHm+nlIQ+0YoPEL2abY2Rv0EGq
39g2oP7JUYvOJt+MHb1UbAtg+alNOZaHSsucq1nvnMussOt3lWPll29/K+ouYMPpTUEfXMxdmxOU
zVkEUIw+zzaHb7kpFD3eK7P+Zotz3urlUIuM06jwvW6zlKHaxrgozMS6HsNs7YVOF8PxKIuTqO+V
rsQptThQmzFpH5gasOYwufiJaZMYVN5JkikWJ1GUxVNWhSHvMofThSX0Ae1vK4I0m0Xb14c6+0J/
D7U8ifpAtEFDp/QQTI57iaQNzaxIf3p9EPmZj+8PZu3FIFTbXt5Udgc6HdZxcShjYMGQJxwknRQN
xFbf+q8PJT/zyVCydYcpAPikZTMdQclgClS3OMSNVR9CYuqLSMUeKXKz75yG6cqXOjt9z6kPRUTD
XKpUilCZY8h0xSF1ImWvSIh8ojjJmz+SxLmBhSKAQh53KVJb9YqTo0uQH6igf+7GPtmVnjnsX5+5
k49EA5HgjSYfvT4ADouPVLSxjou7mh5aFytoG5mVHwYWWpDEazxMXx/rZNqex3rGJUmtrSWvjdsq
KIgU00PZ2+NjEJL7U82IipVhThq53OaIBUINlL5ZpzTLAtRXJvI2PahuIt4pthdBOm5w/ElwJp7r
vLvTbDHeKsZQ3Ug3xLuErsKXrsvneKMpbkEVVMy3TqcIAo4xvuYGaD7kMENXaGonq1Y+J5Mu2YTI
gy61NwIElqyojUg4w877VreB9U6zi+qghKazVZFf/lcD4ah/8LKwdWb+qX0DsJOqQJKPdrwhTaRv
8yZ00oOuKZ8nFZn+lCbKW1ctbELotORkUJNRU1tEjckMWStRK0rWQVrvnazqd2h5dytTdyqKIUmL
kLRQGpPE5qWaTYrIkap0SnLAUVg8lqkwpq2tGDmNNtOlqdTEZb8pYe5v8jkbfzcM4R0qpDM/cpLr
vtCb8oOrhfrNMFXOTWYwEaSs/ZDQXGrmHeXNYj+UhVbgF9GXD2/dB6A6gThK6CGh5zKq0aFaIjZt
AhFIJxeRQ7CcNQYVKzv7JHZCXVICqOCaUMMhMzv+2kroqZ1Lv/JAEzn4OpXoVBXDFO6n3o6u676u
b4JhenJQXPrw+us9x0ZHp7EcGYM4djpQHHgoxyMblAJgKbTxwREiHpGyjo0P1jxZj0VZT9Fm6Bzq
GBQpx4cpVpNiW5VThUsGOpjzTemiDOgHbeN9S4DIfQuFPY2bxML0YM096nT7kVsQ38Epo5t54mcA
iF8bRrqsB1DwBpS++JslcsPP22zaTLOx1jQ99z2AOahSgI9sY4kdT2Vpu1bn+AARzdjg5IF1jUw9
NnYbBQc7Kc1vXZLYh3Ky80+vf5HTjQ8O1JOhGLE64F3j+IMIbOqnRnTxYQzsYteK1t5g25wcXh/l
eWsvvjtpB8U6iUiX0vjHwyCobA9RncaHKq7r3E9VhMvtPhtRrhzNK4ea+tU0aeLTTEF4U+DLdjlU
fWBu+7wdL5FM9N56TeNxhh2r5FCzFsGDHT9PhMKyVpR2dGgyNWHxI8ldR93aMjozuaA8cQCgVsF1
vQQt1/M0zh2aXodOKOMOMHG502Iwy69P7tooi0+oRcEEnIFRhsnJdgn3ua/nyarryGk48AzDpVYC
EooDXP78RU0toE/gdpMpDlOf3bm5anwQUVhj5CfASvjCoSC6KavJRIdGsaOPaaF2GDzqhdi7MBIu
I8Rpc/7T03/obKo/y9GJ/irIveEW4xFdtCUl9ADc5OJ0aYtI0TAXF4cYnZyLbHbnezM14t3r831u
ImwUu6WgskzZF6Mk1ayFMTZWhyjJhivLqzDz8TqxI3LvVz6t3BbLbQNAhf6zStGclXQ852JIG5iA
rThQXflzjJ27JjIx1GydT2UZ7GNX/+P1VzulN1AdIDLH7oOmH7R8udZefGThav1cj7k4KG2VHDJ8
UkM/CsJ2W5HC32naPByU2m6vxxgtvdkKc2B/hrjnU1pfXn+U01mWshH0MaErgrpz5RH94klQjVaR
Wo0EEWE6f7RBe22F1P8yYBKuHAanp/3xUIvDqZiNVsQ9Q+mE1Xs8kZILC1nZwxh54Y3dIRj4+qut
jSevg5evZja9WgWMRzcs2dtFafyIkmTc0NVFjRCUwP718WTwdryK+KoytrNdOq9gbI/Hi4l1Wg8Q
wcEQgXZRJaqZ+pEDxgTv4l67VUBbbQYHW5IgaN2vaRxof77+AOeWFVMME467BsHupcGXMBKlajTW
cVjp1UMNP+SzAyZk0wWBcT3wlXeVk6WHdDKTKy+sgl3nCi/xy/6t5QeOY4iVWCQ816eWwhZiLBwv
TGtxGAeNOh7bbtP1Xe2HNtjV19/53Pql/gWIWhZKKbgdT3ow9rUWFqE4oPWTbGZkk/1kmtxNqpdr
moDn1hPsQwjZBvuFAuLxUG0Ro8KcOrRlVCGuDDEOO7CFwS6eIsWfRBqvrKfTC4eSq4QTABuQBNzF
eElfK14VGeEhmUVxnde99qfq5GsMvtOzj1GIGagy67zakmlVjXHZNhiIHtQi6L+UMGAllUbb604v
NiN52RaPxrWS79lXY4USHFhQC5bw7JBaI6FmHh7AbpUf5qIbHoRmDCsHwJlwCEFBaJXQW6QU2vN+
eXECKIo7jqkSh4c5NbOHZE6m76FmNlfgGoJ3+lA5V5iMi52Z6yX1sTjf9Lkz3sN+y3ynyGf/9aV6
KlrFrgCBCb1KlqGpzB0vIFHNHCBxxlQbXnGXEMF9zsWscIM2FaZLifFedXOr9q3JqJ6KWDN2ajaZ
F/i2xrelHoaXRp6Itbvv3Kewocpww0KLp956/FCZqg1KpFThAUym8QQTpt9kdg9BZ+XlZbKzPB05
ktC9JhikOLAYZxqMqbFbEdLbdew/Cr30dmkNcNvLZuu67MBQTl4tLr0QpnKZleXDPE60m3/mKQB+
gVJEmYl6y/Hbsha8LnAUNEOneP49H2pzA3a/27YibZBbb11KwF6ybVH+eId/ae5nkVf8/vpDnJlx
Sg7PBDHq6XD5jp+hdziyStNV9hnWmA9o5Fg710vqlcUvf8tivmngSXoCR4d0xz0eRW47YeeDgod4
+1lpx+Y2Etk+r6yR88tbSTjPDcb2glqiyivQW1ztBgTbOelbZT/GCbB4kr0d8YSFCULuXnPqr7lH
nZtCCZxGTNeEhWosrlrA50hVpB0vZ3jwILVk2CiRk6wYx5wdhc4pijdSZeEZSPji+OhyBIPsrlb2
TlekfolW3z4OxrVyzZkDGAYU6S9AafbHUtONJoeY64pR+tqKQQa6GYBbuffVsEGcuhquwaNGK68m
v/5ydbwcdLEPQiw2OpRYlH2MksFtWw7tddVO3qFvCvMPB1T/ReO6/QGc5JoU5JlJhcYiWdPwlCUM
9HhdJrlCPScKlb0XCvOg9pz6c1/Oh9f32JmwgMUoVR7QnWS7y5+/+HSR5GtZ9Yg/e2anm7Gew41V
eLpfRNoa4uvMC3GPUcEFpIMCzzIb6oNaSwdRe3uo6e4nd6jm6xph8pWQ6hkpv/hihJVQ7ii2kRou
Wzp6W6j1jFjl3q6hkYI5F9lOC2Lkz6JR/W5oQ76fYzX6YcduOm9GCOHfob5r7/RZTQ6OnfRbjMfD
+6YzlNBHpx8SB6h/ZdP0c3krcsvd4qA3rGgIamcOBnRiMUVBfFJmcosYRiWpCZwg8vZWkpbvzHRo
gsOsGbUb+W4G5PwiVjqBFqijTu+jdDZ731NF9D0B4fJeT6zgXkyOHvktlsr4IvLJS99GyDLfTEPY
hfdvXjQydJbVKMr99DKOFw1om85WtA6v3z7Xdl7pRUikK+nOqeFJ/D8NtWw7qgMcg7qV5sVNNN5x
TTSXuj4Ot9U4Byvf4MxWePlWyybG1A9B4BQY8gocHD+iTwVqiN7JTSUABf3EW2EkCakRvAJC9McT
2BVJGHt0h/edWtfd1ihj0W0So/beB25m714f7My+k3JPfCmOZ6kbfTwYxu5WP041FjJWO28U4c47
b0B66WdGQZAGJCRiO0uviZThp7hmTVC573wvbxS/FPmaEuAJZxKaMi/z9zCLpZe41qyOaYX/aV9V
n/GDpu0dKOaNVqp/xm2oPRqB1VETiKyN2oFl820b7sdPvCoxINoq8lxexiWDk2qBqWJCrdSZ4qtI
TvlYh1ibnxgF0wn4bFiw4GB+/Nnm2Uu0KClZ+Rre0/wJSGGehSvRz9nFQWwAPQbgIlpPx6O4U4zj
Wpbjiqx6f4qxCrG6qPqVFsjZnUWiLTsgJGpLomtHEYd8k+UO+tN8J4SSfkby0Do0ZbBWclsbavE+
RY0JEawkDMKTNrvG9MU7tOYwb+KxzLavf6BzQ4FTkJfnsyLNYijd7sW/vN17NUQ2rI2bq3HKo603
tM5PbGG6E8QBICNI0xYNkoamG7VNtnAB7JQIrqh3RB36yhY+E2ChsYPlOZRk+lVLDmWQN2hK9TGf
aeitq2qKoqsUtNoFojaGH+lufd3novzy+iyeHZTWJ7AmCMJg/48XYI+mT94n+E3F/VDuZAdshwv6
cF207XxH2bil1WBEK0f9udsWSVRQezALYd4s9lZZe07vTqz6Mk7sd9kwGHvdVcqdlXbOrSOM9O0n
BuJFsrxPdV8StRYvmVhzqbbsZbRF820XtcXWKoY1X7gzU0kdHJNg0IOAC5Z7GSdOdVJ7RoGJ1++G
UHW3OTnFVishpdZJW32qvG7tgj5XO6BfQ+UZnWnJZl+szRgOe90z03sChhhyjqI3D3oY5cXe7nL3
a5dyRpqlkd+HDb6cZSQ7agMySdd5EuqXENPWCJxn9iVgMuQCQGUSOy8PTmkTNU069lVeEURI+3T1
RlWDag9s+2e+K1LC0FJA/SGPsLhaTUCadYIf0r6ETPHQ43jgm2HvroS0Z85o6nbE5jCy4cEuKYy2
UgxqQ1Eajh9rtFPjbBt1jXj7fQORnTITAR0lyWUTNuzmJg5iRikh4Oxjp3ucEZc/vL7bz70K5DST
lIauPh2v442Q4PZYphkcm6iJZxSsUf+uMYf6iVehUM//nj0KlnIDrjfrUfq/OTuP5jiZcG3/oY8q
ctjCzKBkWXqdvaEcyaFJDfz6c6E6Cw8znyidhb2wy241NE8/4Q4F5lCG1+LSrWOoI91k2Hkt184Z
aBSYA6tbGnPr872gq160dtLhj9PN7o1UYu0uUpLyGQWL9u1XDZGfe2b117L4xM+XWlBWQ1kP9Hvr
VPbBju30qFCFnKpENXfe0LVdQb5aLXQBfHAQzpfKE210lgmvGhALzWEp+vKm0ZzygL7BbjK33pCb
Uo0xEtkcU094E9tGsaZlkL+AeZy01rpNcwUmbq0caVJ/dZQ+xmfJ+VR5uHOISiVmdPp32Yufrx/I
q9sFZcJBMcFPbpP+SKZRnjMLJHoNFWatLl293KyOrfDkzktcU9OL3ZId07pYBT9eKOD/lNrW5PZ5
qeK93DW6ch/Xln5oYj0J6kjT3lmpDgFDVuIICXR8dkW3J9N17dPjfsWrh/J7VZA8f7Gx1+eQubHu
KHCY9x3cgYKRWLmTQ1yOVlblLWLveq2aqLJsEvRa8ao5HQXWOZg4wXlOo8qHqOv8VhBau7cgQhwa
dNCOLVyZT4M0x1NaDd2TmS0wSl5/txc75kchaAKVAb20Sj+f73gRmj4hjGqfelct7007Le5QAP7y
+iIXBHNQGajsIcqJoTbthu1gUDYTBiHg2k+mXQ/zcRGDJhALKIFfquMwndBSmH9HRk42JZCanegm
oAo8e0vj+I6RFC1SD6k2HXpZl1M49qo3hqPVVX9RvMrxW5wcbtU2asZ7dSgEOgSQ/ccPU6urn5yO
sd1x1GSNRaKljZWvgFLZCXPbrAKKHiOB9YpnVsYNsUlz49mTjSvGMURDtX7XUS0EVeWmJqd1UW+a
kbRCzXTlz+uPdftdvqxKkwjmDHgXRnXn766x4rzUNcgQdiu6Y5YXUPD6UfWrtuuOry+1/lf/fpcs
tTLAQEW4gLO4NM6XgnERWS53HViQEiM8U0+elsV0AjTslKekWSXDEdX80S9uvkNb2D5auqLkTA4p
KOGWW3H9+38igpcoiaVXywg+wJz/0pf9vai4a5ZtLG5y241vpqWbfry+2+2DfVlzpaghisDCW7Wq
xJmrVh95nWYBF2qJJyTrktoNgNfNO9fwNsumA4eG86pRg4IUWoibUGC5mRIblS3CiGsUffvVOLRW
+f5BPPqKXXk7j3MbYNf1aOVzVFfPChr6549TR7+5HMdBhFNldFge6MvtGGdi8oc0n45aIjOfEbp9
O3Fv3zNixz719We7DTgvPwBNFjTWmRHSTDr/AYSXFW5kFyKc+85BDIMLzi/VqUx3AtvlueH2YDCB
NsYKm9t6x7gDUnVE3ib03DSugqbSx1+TPa6Ug7pKb11tMA4lONLw9e1dHh2Wpe++sqG4trcsGzNa
fbYZyYT5WHzH3DAL2kZ8hDG9x1G68hxpF62UTRyt0KfavEijcaUitLkOYWlbt6Wwa3+Olfnmzdux
AESv9lyUZFAAzt/WEkvVbsa2DlEdk1+kESm35N7VQa2UfK8mudwRtDKEvNkPNArQbZu1tLz1ojmr
wkTB68x0Os2nGVMcXt/R5QcHZm/1EyK7psO+Hdqp9aymNBHKUMQD6ixabwZQ6UNpanHQKdGeOPm1
TVH50PGj7iOX3xz3KWubvKLSC5V69AJAQ/GpyKc9KPCVTVG4rrqiBl8WUfri0WVLmVh1ONg5MmyL
EWS5edP1ZeZLVE13HuGVPfGSUSzQEdJYCV3nq6EuguCSpddhO6nLs9HX80l66lthtWuBZaxoVzJB
DsTWkt6M0CfVhFaHWMabDxIC/mejVvfcZy6/V1ahI7D6i5CcqJubu5grpAJ7E6rBokYnGFC06bHb
CKfS2NUv4rH8e4euG2LICACNSgjFnvWx/nOTZaol8lxR63BElcxXwf8xpx/21DGvvRxONwAWnYLY
3qYiCo1sq5gKaBpSaoHeLD2EA2Vv8HbtwOFzBtiWNNkDpHS+F29CCaBqvCqUuXC/JnOnHYfZs4+5
N+ZB64hoJ8G6tqsXXhq3Bv35LRa1GLQyF/pShQMuoSfXUZKgxOzyzXcTTtB0D8hVV2/2lzT2nzc0
DQ2ubbKowhps0bHqCnD7du3srHLlyDEQgjABUYDL2NscOQPrmlbDRTVM5IgThFmVx4XHBuC0f7Ms
JWeOwnFVpQT9SDdhE1Obok9LJeOWoEPb+27mAlI2vjCr/dkmxd+yGO+TofpQz959k7Y7Y+Er72y9
OkDssvhKyDw/I7KNCklzoQ69IZ6DTBsbEKcwzF+P59eeJp0w2MgUx4gMbgKsTljsIrNmlboDENwT
YHElek7ddi/sXaZONP/xQaReerEi2qzkLcJWIEPUITD05BSJwfLdzhjCqOiyR2OJ9aAG33ED7DP+
TxTmnhXvtcfJTJ9pByRNKNrr3/9zOKH0Oo0Y0jp0am8OWkW3TgxD36pZvx4YGmirjjwzqgs4LolG
qVojLKWkt7qnbFEAeaeYkVLJ5EbpV7k67rzAy0SNFWkxQ5eEKUcZdb6vXCsrBWnsKiy6WdxTH1L9
xbX5rtVwE/HRi9Z9AAZiz+D0Ykq27pSqhpybY0PxtDme1hR3lRIlhLBpYTg1pMqnGMn5O7fVzV/4
u6T+MCTGE3oc7Z1Opvh5AOXz5iSVhs4LHIRkkfnjGmb/eaepWUptUL0y1HpPucumrHhnqvS8O6uH
P5rp4zsQAW/FGLBxMHrr7YCkKeF7ExMgvPetRFM1bEGO3WC+5uGvHPc7meOV42qR46/kJLj63Eeb
rRGtXavUy1DFPPR5SRoE4+gsHF//+rd16bqXtTRdz+r6HjflE1ar1VAVsgwj0aPUszT6e/iqiHx2
fXLAGVX6mUgUvxbD/2pc/X9x61fiziotukKvDeriLVa0Lwc9M1pRhmWDlrxKoeTnBnYmi67uCfte
YP1edknhxNcP34Rk6PxZ8qeAh2RThopt/9Ka6sFS+nd96h2yon3S+/HGlqVHRuHeilkccoQqhRHf
IIry5fWnfeWd0pYmZ6YRCbZh2/7WKxFXPZdWOAwtERCFIb/P82Xn5Fx5snCAqfbXSgr48ybO5hZe
C6iwF6Ei7fYGK6XuppLjFwXLkcPr+7mSxfBAqTpWnDNAss1z7edCqfIKEPNUaYilOYN7AMXizykO
GtWbR+K8xZVIx2ElwSCP2STpRjRpQ984qEC3DdYmomq/maNcHl/f05VwuhZREFe4dFfPoPOzUjqx
TA0tz0PLy6fvyaR3x3kZW7+eMu+uEKN2l42xtscFfbl9NsntmqOj+okeAonhJpIli5dVCbyNEEhq
LbHyyouwhLFz4xQ22mFZLI9ROevPi1ZqaKcvjJyVtjjJzmRWa7lFEDeLgaOscHaykIvZG4+d24yZ
71p5rwy28wcyKwjkg3TNw9qoRz9TIsfPkwo/HdN7cM3sMUJD76Sr8XsnKR+ySj6WwtX9zJp+v/5i
rnw8YD7oE5JgkjhvMVdZW5mjJeCnKXav3Q1IAuELM4w7AfHqKgBvGe1xBrhOz3dLq3EarErJQlPI
DkS03d5FvfXr9a1c+UIhNK6velUTBq12vkhXFW5jznYWRqDtDlOSLIHXwZEavGFnpStfKCMdDjJT
Sj6eLejamIDfLtmchfa05EGcEuI6J+btkfwvX5Y436sHL3rzHBfoUkhqrQaXsNQu9iZzpIVhvbkL
djCWMSEIV8ZK+gEXJCtsvKk4KFPaHrrC9fxpnpP7dq6zYLHTcufkXnuVqOasfGJrnWmtf/9PcrAm
S5MWlVmoqWN7XOpSCRTAlW8Uklj3u/q9gH5l8A5W53wV10niIqnVDOZtHZ+GEsNhD0TNAUU5dSc0
XW7opYFL5wDrP1qQmwCozokpnagsQzhYyq0ZTT87aaq3O2dzLZ/OIxGrOLDsuZgZbm83VInI8IYq
KcOmQuEjkHOTimeTXG4+wjOLuqCSiNcd82RyY1+OTSd8rlT9/YqoByMbyeUn7d9iDDqQ4zo9IQZi
h8Sc2me1y7uJ4FE3P63aiX/nuE7AwlXKqL9f7G6YDx7pqh2UwO1/o2iefpRlOyGNX87HUdXb93km
WwOdaKPDmK5oqzKUzrzE8KOwErlRiICf1b6TddhZc4vwno3/dKQZ34UB4ARFAqM8NrZQf6TI3f9R
ZlOdD04vESt0W0/9mQhl1o59MUQ3pmIt4qg3dbn4Y+6A3tRR5PbNqnXSnYBzJY/meVN6EQpWKO62
0TqrIst63YAhnjXLl7H17G8is5TA1fDKbMpEe6eVpnsCoqjfORXmfJqbv3UgSybLz0DfEOgevZVt
DUEJWuhYTHDl2Et8mvRxdbqyOr83nb1y5dohXg8WAy0W1LeqB4PEdrXzUD3QBYqM9Yx9KIXG24u9
F71bqmcaRmRam6LIawyrEl5bhEkeGTdWKcfHAmrdzrd/bS/kk9BqV0UmhvTn374Z5zzSRULiauqP
WEDGYRSVys7E4fKyQDjmn0U2W0n0OU3ymUXyNGPMmbl52KR2EjA73yM5XV2KQnJV0qdE315+VbwM
tdOORTjGagdBDIfxCMCqP0xzv7Ory4uJXYHWeenpMqTYhM0FtM6M6iUvCN/lu67pdfi0dakGxdA2
iV9U0x7p5TKxY0XudBo6a0m1TR+zqE29NmNFS3TGO4euf2DN0jm0bq0HqzjLacyMt/eqWJT+68p7
Au6yTevyPKOX6SVFaI+pvBtrI2UemzZcwvPewObKYYRgwoGnnmNCvG3Mu5Mcl6ry8nBOS/muKHX7
Ry4c5e1dWKbQ6xBstYiENLa5hJyuBB/YGixj6fJR7+ruW1/F5c4tdOVl8UWRRVBbQJ3cwpG6siT/
h0oSZnURB0kjtFuUWbUpgFatvZNjah/G1nF3IHtXV7W4zCmaAPZvc39YkYM9izkPY9hpJ2GigKn1
U/ZoR7l6qmMz+2wvnhW+fuFee2/skQGQicgRFMPzIIJgv742pvKwb7TxJvX6yBdO+laBMiK8xhiK
pimwEC71TRThUZpaV/d5KBcRP0xNVJToY471TkRcP9tN8nC2zLrZf3KuuU9sc0J8L7R6N7u1yXOd
VdPzF7oy+QmjXjssMg+iw1wm7p3RR+abG0IeTjeMgQHmUf9usV8dvptRIqIsXCqzfxwR+QomM8bu
ecRffezM9lYpy/jz62/wSonEFJHeKR0h1MRI6M93nXZzmTVCoGVhjak4ctF4j2nTOqck6oy/0nXb
X2OrOvekVSNGANl0kyiKHtqwHN+pZR7tnKgrYZwhIOAYHHXJTrfI/5LYqaOhnoVQ22UA57I4VrOm
HkRiJDvf6ZXDiybhqmzC4QWiu4kGpRvNejFRlJFV9H6G8cixyoa9HOnahpy1P2WSkK4AwvPna6Zq
q0YwL8MoT2B0L0tzqtTMxZxK7k0Cr25oHdiS/1K8bEszp1YjTVgslQjve2y71Z2aJnuErytxxgAY
AaGYOxCs1uZjHKYE0ourZ6HhRimwcTEdm2qOH8xkVoIktu1bIJ97ldm1na0mgoAJ2RfDoPOHmEVl
PXg8NsQFIulrri7/m8ZafHr9W7hyrzMO5JJ9aZKiUbxZhRNh6iUFp2Ol8n2ObeBTlUXomwyV1wd9
ZFg7EefatjyYrEzT4E2DJtwsOIumH+OWxolWu6GlmN1JmdU9ZcJrWTqVJOJmPDrQuNvuQ6Go5Wjm
YxZ6xSjv1EROt7LUMIhrhvwpjqFsk8gUtyDK0x9dt1inOCmX/7W8eEPPdH20aKyhkEUbZCu01mVY
17tLTJxxF/Ozp+D6I1SEK9po3KNTXHmsfGwWAxs2vRr9nj/WQQ5ycss5DatarX54qcnp7BAXfv20
XFuFbIzhGd8DakCbuy/TJRjuOUcsRtG+ixJgpoHl2tvDIWidVQGes49M3fpD/HMn0Vmmz1ElaTjl
sRLQ1huDSrNnv9QxYXl9P1cCFXcOzWz8upiMbK+fcpGV3TZOEmqJ8k3EU3RIpf6k4DMd/B8W4tiz
xGpKddHR9oxmnB2EaWrHjoN67tQj9jmJr0Vv5oWQOUDdeWm9MQ+/0GPBMVNHWEFHA8cU9P9aIKym
ErvH1zd0JXFAfIp2Ky6vq8j5GjL/fUmtNZY6kL+QOSCyEbAnovTkYPXXHXmn01HOtjMHEQCYxZcF
JA+KccXa4RBdBC9qHzof62Rn5cRua9MVQtrHHd8XIpr1+3TMumAEvOuTKTqHsqyinU79xfFf1wNs
v7ZWVw7WJiR7vdYieVVl4eg42GKpcvBds493zv+VVZgHsBQ4J1roW2Fw00ZVl4I7DTVP/hLKMB5U
rY12Eq8Xht9Z5keaSs+PuoA+I+ijddL0zwtUp5YWcirSUKGX0DAD6MCEKMjdFUln/OemXv5oS/zW
dbNVQifThtQvW7185+jIDMZdh0+Sp414BHZx5xcC1dfWkNNxAkyIJ6SiHNo0sYJEDIsSOIaYnxSs
rXcSuYvPd90DblyMaKjXmEud76FEWbLVe56UiRVRdxCiwk2jdu0i9ScS2p1goV8M3zSoynxQjMQd
hsZbVouZmnkWKxJlFl1H4yGeRXZ0I1qkdyq9k+iuc1bQbdFOUAuiSfxulzl+9GpZo1wz15i1RZp7
B2m7+p3YqPjXsz6Vfhdb9bu0csbHJDfj4zBE6bt6kQ6o1gFJesQDg8pYzNu+z9ywGtX2ppSmcSsi
5Qeo6j0+/eXZY4tIO0CnhHpFlD9/oqmmVhrICMSc6sJ6nPMu83OzSXe+oysWJSitkXesxi08z227
x8YfTiuyIQkjPfX8YdFPaqP/l4ge4Lv3uRv0e9OJnlDiK3yzNE9UxbeeWYwYR7dBUs1P+Bd8jEYm
G1KVqt/K9iSKwfBn5HpqY9ppfVw+k7UjtXJTSDABHm6+FNjfnmIybDyZ1TiPflWbJWbaw6DsnK/L
aMY6awEAgAR25zZliXMkMxAwcHGzX4wP2DBXP2va/iWz+qL8b6GLu7PgtY2ttA6Gm6DB+HX+svPO
mdqBq+EUeaNy62XUXcaUFG9N+MDNrWiHlVu3To83R8ryUliJDDugOLTyFg/C9LAq7f1f9gJWhAR9
7QZsOeG2UfdLU7KXrJ+Td7EqpN+UebpTPl0GHJIs8MRr2UjGvSUmJq5ej7mEGdKLRhxskfijW/+p
AKjsbOfKWVizOQB6iJzRrtxUHL0R93XSufapiuP5XoqCEtxwqD1GS34Ss7333V9fj7tmxR+CAN/c
bKlp9aUgyzqVsHu+ywGhTdxtZ79HePMoa83aidxXjt5KxAOQyr0NB33zTS151WvoetknV+/1+yix
siM9o+n0epJy9XWRCoEThbyGdPj5AYe87yFftu7KAD2UgEm56YwZk5LZ3iPUX3uA3EUEzhXpBlzp
fCljdpEeNBYoLnR/75ZFGO/HiXnH8mC1WbNzDC+f3iofiAwQk3WC6Fbcqk+tujai1Di1+mz7Sdvy
oqRi7KR4l09vHcMxUqUZymX3ch3+kyHUOPROLKOfXOH9XOxcCyz6tKcWyslOH+/afgBAmGTHFIWg
5M8fXo/bPBEBs9PWUwqA8tZwKOMienMgYj+AX5lJ85q43s5XmfF8kXFs6Iyhs8xP80H7pHTa8PGt
Zw4YEOMZUGs0Q+GBnq/iIUGZ1JHEuHVG/hAtmvSUNZb6odOtaGepK4+Nu3Ml2YI/wCN+c+YWEzHk
2p108m5x242mdT+Uzp4Q4NVFeDmA/LFHY65xvp9JRCoSxSxiF9VMt99x71Kp7E2ZLltya9bBiSb1
WGEV265qNRZovJalhud01X5sk75AaAV78+QZt8oxe9Ii2XV+rjY5PLWoalS/gVsd39ZLtyA0tSD7
eVxsCyfY11/n5fbJgl7ggQA6V/7B+fbVuOxlCrfiZMZ2/qcAdMn8XxU7k+LL6EHbXKWTvdJfGftv
miJeOZddYVUqD5n5muvOyMzHxcOYiCawyqLd+bKvLgedk8k02lbAAjebynSYLmWsnvhgltuqMfVT
aqPNFI+r3R3eqDtx+OIhrhwcEoB19L6KjayR5p9IMkap2ZqVaZ3M0cYqDVfSo7qYe2qGF7tiFWCi
3MqUZrANN1EES2sE6Ab8q7s5/W2OvRO03WwiH9D/UhSr3Kk9r+2JJgWlgG2sbZfNxzc1adaJVrVO
U2MWASr0zTH2jGIn0l/bE7gzkk6g0zQo1p/inycnYCqmjWKaJy+x43DymAKY4yJvu8YBNmomezKc
F+LzL8RbnMT5Fl9EJTYnMR0Y2wzopZ4yETFJbJaxj/AP6YoWD3gTOIBpNk1Ca1pH371bCt3yRRvL
z5hxWNkB6bm6CYxR14fATWSvHfHwUgwuDlH3mG/3gLIL2cx7Q641dJ8Vs4wOKFzAskMIYTi/OdBD
RiaVacI8tXExfakAXRznSrEPRgOVDd0k92ECNrBTQl/GrJdVURmmA7KSSTcXyjC5i+rE1CfxkhSP
9Tx69x5iH/du4WKlKLCP8HO7lgcrbpSKZ2C7JxqB9aNZZ9HP0bCHmzfGKn4ers8V4wuBSd2C32N0
HkYzg6jvVYn5OKMi5KvF3L31GmUVBEMROaGvutqknB9J2mU99jI96hi9OT+YsrHpYjn62z8vIBbc
B9qqxH3hxdkaeor4R26eZkw4AmtEAXswOWGvP7Fr5wYVBUCKlPaQozaBSa/U3DGka5wwdqijoHSL
6aB5EKX81p7bG0oi85aO3ptHv2vrG4IZpJjV13RLMJ9yZ9YKg/xNYZDoA0aAsNt77c4jvLI5V2eG
TYQnGhJ4z1+UrMxBFYOqn8xV2dvTWOeI2Jp2iCT3uZ8SFDEotfvPrz/TNcxuvkXUDzghoJLIqLfC
f/ZcmOhtziQM2hT7wzwVHzM5OUetmV1aWtGAw3SkPkfu/Pf1hS/yVZoy5I7rEIhfqHKe71doDrrl
xB6y4qE79mM5POZo09/Og63tfGkvDYrtJtEGWCsYYg7qFedr5e2QNsMwa6cqVeFZt0lTBCiwdex6
apT8ENFy+5VgT38Ase0eGVIPRztzMjMwl7o/IinX3nFlOEHW0/TpMlO7bw3R3hVxgveL0yP3qzA1
84Y6vRd8JX4y62UwpFrT7XSmr9xjDF5B6RI4mOBvaWceCl0q70c7eVZr3yhTngURg5OdD+3qKsiI
6Kywkkk2z6srTZUuSq+dFLt933aR89RHmbZz8tb/ZPNSuCLX8M8K3AWbBKDuaGhO6qCdUmUh6qbj
T68pdSTHxtu5o1Z//bhd3RI5ocNUkG7AFhxepUYyRF2jnXqMUHy1N5zbfMGg6vVVXmzitpuixc6N
TCykn7/ZVIU3UFtMjXpSK6uyAhjS7TeMxWgL0g1xfyp5mXyuEz1Lg8lAy41+4iS7UzHSqPTjbFCh
Rrpa91cYU9T4LbKffwynW37IqB1zf8Jw1zxCiWjTQGlNqwhacNZpiJgfl1eBb3yD4LZn/7DKxvMO
pjGja8ZvkG9rQxtTkvDIqPw0M6vvpYzc3x6TvT8aNfDH0XTlp6lXUhPYjmF+w7ohn3xY3tYXM+6g
EECD6TVfhbUHulV3gbAVZqxOQYnU7X9uPqpugKUJ4xH4nfWHIpX5t7gVUxwYZqmPwajWSxtojTtV
K2mmwC/cTmfr+P/c2nESt6uwcY6KzPbtGJCwr9Zu9XPn1VwcN7CkBFiaTly2sKvPY4DnFs0C+Ek9
UZo5R30qGn9S0gaDqGlPxemSEUElSa8U1P6qNoz9xvlaqjW0ebeI5ZRQDOHzWtTLLWV7xd1blml7
O7XZqKAWmGTDoRhi+zPmI81PvZbl/ZBW0RDMhaRLauZV/evNT2EVeWIAg9QRB3VzPqdJNFkNdQm8
ptADD1LkgQGi5uuN2GvAXwZ47urVCASMDUF+q5hF7Iu91kqWUxtp8oharnlSVFeCGRz3Hvjl3clS
awHPTbYCkjdp8KD2Su/W1oz0ZkTdqYmoedYWE2Nv04wVvHctbHji2UDH6vXHeRlV6EyozK0ZSNKL
2+IZrN4qksic5tMsveUur6O/niXVncyAU3N5drm01px1pWbAOD4/T81S9e2ked0pqmXu3Qivn5Vj
aWpLfjSiefpuWgL8sFrHRu3bvWd/HlM3U3kO0gZ9K7ooOiT1VGiH0Soz3Uf4VjH9tDdE6mua1JLj
5DWWfuTyn8xjYk3i4+QtdRLIKJ0yMMroMtxgHUjPSpTeJE5x0cFHt9AhPlZFNBs3i0yaPJg62q0+
AR9FFDwDsjhIIxpfj01ZYoQyL4WTBaWlx1/FPLpK0ODY6x68qnEfgKHF5o0dC9CkTlt7fpNL/aM6
DCL2R1kqZCFRFo/H0W7L/BjFZfpsgyIumbjEbh+8CLsfokGN1023Mg9W+dV1zqlFxcHQZhtH9Ugv
v6ZzH30Aq188j25s/xbRoHwAlabmiJ412gdHaNqXwRhcxZ9atxiwc6qpsUVXWzbAYF2+MwtNBzFs
Td77alh9l73cyaxgnmtnOnWYuSNm7ChL/VCiFMRcdakhs4ypMsRM3VwKMtG4XvpI/VXi+D5q/RO9
6w7Ox5Kon8ToFmmQN8aYI3uxlCVWzVYZ+amB1EYo7CYpYXHpUXZgHqj9Z8o2NY6y0Lvmpkza4bNh
JcYPhqE9Ah0r6jtt7fHRVpSk8N2Yr+ZTlDbdfZos+nIUpieTlRhWG2FfN1UVuGpuHzJ3Kl3ftGLz
r9dGNo7NoLzAlplJbOASNmvvR0mI9fNUqp/xYjHbEzlI7B05Ku1zUStjjaa+hn2Stug9fRE78Xrf
mTPlphNMIH1EHZWIKL/M3/IuFzw0V+E7TQZlxk2r6ajHRq/hG05TxkleZAy/3MgyfyqD3SOOUTrp
3cK//jnGYubNtC5Jm1zy7oEOyWKcmm40Po6jVwzkYGrS89XH0gtsfdJtjLaG5G9l1OaDbsn0idkh
Sg5K4aZPBenof24sMJAuPKcaD71w6dqrmdb8aheJj9HgFJKtKV1UBwQ7ibT4YIx3dZJbP3NgAQy3
aP6xs9JbzGOcxfPfps2tD7ocbQdpdV1jCtXbszxIh0w/wDSVriMWOAlBqnaH5QacTVcGUR+rT6Ot
wFO3Gdlzd8g4PdZQ2m9L151AvmRp81evreg7aj/iW+XCMPQ7qqLnjoa3EegepSSAfq1919nvnTF+
EGkTfZSNUP5SMHV5IMahqwKEV50/EuLAtywbdC1svcKcT/polOV9YZs8bJlm7S/YSVaFUV3iJid9
wFfbb90xe6xA2GaBY87uj0aI8U9Kh+WZhxNBF+AMTYGK9umf2ksGJ4BkrlS+xD3zB9rzw8d5lmoT
1ggm86eON/YHo9SMOhhQco78pcmzj7QP0yJQmW9pfgWx/mfn0es4zvhUWodhjjggeWFFX/lnKbiu
Qdp+HsssCVJLOEeAfzYpuaU4//XKjGqcleWub2hd/1QYDQJdOGs6nMouWcXbU49X0FVO0vgGcNR7
T+qRuI2QIx9PfFHeezs2XVzCppnZuKnVbex3ts5QMUX8zvFpjcmPpEJL6/MGZUb+pBn3bm3P/xll
pgYyMyDmSnU278TiaZxZLXHlXafLBmYrJVAfIKwalz4blJjFOXZ3r1h2+hzZ/VQd8qqwMFQZVfND
lETls52IzuYV1hpeXnav3Vg0/Z9qz4b54zAoIb1CukYcOxOvAQVPeABwQ/qwIIL6UZi6tpxsp7HE
XYXdnACpo8ALaSWhNEjHPHlY7Vs4G6a0p1PN1zaelqmvq3AcsqaimVW51U3etCOwkbQE8znV3Vfc
4L0uSJgqhm4UmwTcpkLPveyk9eAOLZTsQhfaowrKyQ5kmQ3vNNGh6VVifBhiZUkUrXDUS+/wRI57
jEYSqYWWPRIzBUyRj22eFb8SXZFxaKXuFJ/6MavSsEC8ijqIvNYIU0viYV82CaEpi9PmOwtMtC0T
0hPop572AQeMnIl0q5AJtGRiFchVZc4D9Nj1L0uJX2jYDqOj3mDwqie+xVvMeTEpHJvJKyfLN4bI
rX24jf3X0k1VpAoyFXJM5ZjLVyyqcTlbyl5/dvW8uDUGBv5+KkU9+YYBA/+YOXHa3UQEY/Wgx4Oj
oKhWOx9iFMBt3+POetfy0Tl3jtMoKhrhZlH4elYVf4p0aBHqQiXoGxPv9r5GvzUCa6W1tDEbhzx8
Xpr5KfIWZcQOpiqJ4W1kTb6TZVCnM8WsRNChSX1bTJHl11QD4SAcNVji/gHaUfc08va5i8jlMl/H
8Ks7WU0z8ghQfMD3K149KhkKD09mOsWZD9or/tZZSjkEVjsCgGckld2pg9X8rmmxUcBZg5X5mamS
YZMHK82hyCqy4GiehebHjV2nh3l2lIehRN6TpoqVfDPM3n63zEKmIYHSmA6NonOfJVqm+I6XYZI4
lKYgXopserKGrPtW1lFRB0btpDOx1MohS0mtiQ4LOI3cr6W0xgMfTOEd43LsfyyMH0IkpWf3TiZp
fiNaro5D5pCk/sit3F6OaS5j7TaplOS7o45mc2jkqA0Bg6n0praz4dhPaX3q0gbulWnkQguquSkf
eJYZdVhad3WQLkrcBDpadY9LAd30pzlPNFiHvLc/Nq1l/Ek8G4ar3RVSPRa9iyZ8xWYHP9O4rn3V
bQkPfW137/O2FX96wUUXIiYIYsvoopnijrDb/Ynl4HIrqfRlq0idv2jGVP4ZF00nOxDtbH7MR0X+
6tvfSXHSsnL5jRGz+20qloqMrqH7O0U96AwdGIHrK6NjiwPvzWL8iTHksxjc/lc/FOOXGk3rwhdw
dj+nkzP+pj4hvWtsrZH+rHekdyYqgcWHNT15ToZZScKxSJCA9HC/Gn0Q/fAxWqsfZIAIxpQEy7TA
sVG9dPzYtrrzpXGt/mvupt3wCMW/+gXzN7cDt9Oc1i8jpX10pi79a/WV/lU3zKYNYjOK/hLYuJo7
3fwf9s6sKW4szftfxVHXI4/2JWKqLyRlJiS7wTb2jQJs0L4e6Wj59PMTVe4ySbVp7t55ZyK6o9vG
iVLSWZ7z/DfaLqSolrHP76k+DGalfczV0rmW7axChCkVHNlB/os2nFJKsJDZWHjHVFH2tMlrbTq2
F4YTLNp19OTIBHAbSVCMunHvXJGelRf+lDQJ6klMsq7UujDicFT66ksT5dZDjh6PIjqT3kfF0hMD
Fb9VPojIUy6qbq7OslGbNqnU8nlTaV25hhekw11Z1u23ue2RZJVR1Cw3I4o0hkQ6Jdf16FG0O3Gu
OQQWIhT0ZYShIPeQzwiCqzr/yAPL5V7ijPIpqZW0QNBQK8350naaEkqVBmXosN43Pn0rNqQsTy1n
12gafUt8FWIrLOJeTzmoiDK7UEd7rj+KlEUjEJ1hLmE+qVAdWQn6K4zEuyaoPGfu/ZKhel51nXqF
JN0mWUIdWd6ovKrZb+iElr6WkJHqu0PmzX7uYfznA8JZ8ZHuEetG3NvUpT6AbjNs8t6NPxEY632v
wZhgzTlTsvg93LfrvLVJweltVflakkCyUEkXyYdRZxf105RO1NSZ0eLrCSwZf6rjuvaViNfJdKzi
am/12pSQEyGN8xKDXH0n7CF9nPpq4GSt51HoZVPpIPGa1rNHZmh9QEpEMwQdnprKfiR/KsWUwU1u
MqeQJuvfrEyfSPCd5ZHnLv28KTkFEoeo2i2ANBmjbDOerlh0MO2h2drRklZHLXz+U73r+znMjYx2
8VJ4+TZK9VpgJGdYj2vKMqXoWLnWcT3U03eIlk6zL00j7nyhOBGtGT0ugxyZwa1h1MykvHfYSOpu
mMSFTmZveRR3Q+EF3WileahNy/SpMvrhLoKCGAf5IBMR6GPf3KVe2sUBDEXnW5UtxJ4OVbXYvlvw
/oKUGGvLN5W++9yrgGNQpUr3rqgH7PbQktJvKksrPsV2vVU2am9r2cYQTUKwGzuz4U/QwuOwsDM1
DpUlljyeJV39+eJ8KXdSL1Es6I7MUnJJsPLY2U6BHcVoD3Rd46w2xnN8I6rxUgrH/qg4WMcE2tiz
aqtq6hzJ3hiEr0YuXSu8YzGsQx8ywxelDxZYsWzVo1YUhv6lICxkOFeEaNwAm6LqLJnjtj728jk5
L6kTbH/IK7PyOYf2X7Dd6S87jQhyf1pqKws8hWI0YGYjV1ssfYiCimNGTcECkOy77ZxRtWdFfo3j
UmH4g6w8QjHFIEbfxmi5AoPwxLjred3uLvVIugjcOJHJiV4Z3nxCZUSSgtNo7nHRNipstApP1aDI
nO660PLhscpZEcMxn9sPIwjRVTnk1PxZzPHwJItEwdqBqoCIrqbuk1OlUbrJd+eukeRDljmu2OnE
jJuSse583HfMO6TgIglz22oup4mMkSOFMmCX5yCIm1qq0dc550mHHaVdHrh9q141Q0vRaIxqnW3k
IJVufTTOcEX/ufbCPh964buL1xp+Vhk8uN7Q44Z6Uq0HapiJgUSPBxgc8pulneQpC88+kV1fU4HE
zWdHUfv0OEe488VVcRkIlyXulrD0KgK5i3HG55AKqt/1A91PjIMjwjX72ZkeSrwK9kJaHF7lQmaW
jzYM8x21acuI5cotpY+0PT4TaDYv3aSxr3TFZcnW2rhUN7PbRrovbapn2qhZ7tAoSROPaw15E3iJ
69ERWEb1mys77NX0Zuq/txm40xEKsWhbT4sXhXYlqm+DMDo1/A8jkXVDfNi4zdcDcZ3rFI+tMqlW
8B+NzZG9LQHiac87lOz9aNw4DZ2n2MJULcBJlngt7BS8xKcJHZu8N6O45jt7r/lXvmy6YdgJJxTr
f1y1EME87xTZ5ElLVy9oSMWAuKwc7AV27QpIYtZr3lYvm19gi2iNae0hUXoB+g0wTUYta+ZtWkv2
5sH0LpIxKb6/tcVGvwso3YVdTTP1EBfTUjnXxlxN206aZ/hp2tQXgo7xmzt5jgOhDr9jG1U+LdLn
Dy6bB0U2mjpuVTSlMICRPlXq/JrV/kvMg8BighXR0IGXMoWeX4VdRCQxZvAkQg3ZWZkl5WVXesVe
iyxj29au8YpJw9+A3ivjH0LsaqCAydpBZ3RJW2OxrHjcjiZJfxYrU9lJ9mtj+qRggOK7VWsGLUbO
vrVwHCmzq8zmXNC9NQXRQjxkrPo9Y0WvoPg9v/Gul9Qosd5jQJSNR2NDblOF08GbXyJXwTEHrjJ3
rB2aK+Q6wprYGPstQk101Z0jKHhIkPn1iHwxx3DMBLSCi6+uLIZD8iqdviKtY4nXeDTKs6wgRob+
srXjgFAEv77UiymGJyOMUrCh1Z6Tvv3zx9ZPfRMvsii3be+IoEuq9FJM6fjKFFub/s9BKxQ1kKVw
wqPHjEnC86vw5c1S8F54OQW4jqR4tbNvUyTpICpfUJzB736NVP7iIeLtpbqrWg7VEC3hg/lWDOQ9
9qrFq6qyPNDKTAkd+HABPv1vluahNWBcUFwxBSjRDh6ivghriax+3pqk1fgph6/dgkX3K6Pixat6
ugpSDwQaANqHGU1FVlbjYLZgEI2ybDgRLP6i1W/29Vqvwn/XcHXW3kMeU1w6o6P11QyUMtm+RV9u
m/ZkPC5C+dP7+T+f6eHEP/6LP3+rm7kjnbc/+OM/ztJvJO7Vj/1/rR/75z97/qF/XMiHrh+6h3dn
d414tx2q73d9WleHn3n2K7jSn98kvOvvnv1hQ05vP18ND9384QFVUP90ufihXv/lv/vDdw9Pv+Vm
bh5+/+0b+sd+/W0xX+u3P390/P3332yG5X/+/Ov//Nn5XcnHwrpMq/TbXfXuw0Mz3Bfpt8PPPtyJ
/vffFNt9DyUZm8fV2wX54EpmGB+efuTo79m4UDSCPa5WsSv3oKo5tP/+m+a9X/VysHKwFQBpX7c2
UQ9PP3LeQw3SV6DfXGl/kP1/fMvLP2buH2+Kh/Lnn99VQ3lZp1Uvfv8N8tnBDEfljh0Iom32AajI
hxSWRin0bDaKcQNi5TonGV25eVv32BZt87zIbnRQjHGDUQg9tiUSmdwKWA2tP4i2OBGaWuuhoeRx
vRdWMfMPPVXuBo3OYEDEfXq3DDrwwFLUxneAB2KacrDo0m8ac/hYZUyWwBkhEPh6HysZB+W0q45B
zWo7LJzO/ZhWWk23F18bKvze6Gc/rVwzx/Isa7Gqd2a6TEjV3PysKkoR+50cPQLKBifKAsDsOd6J
OnMUsOjcOM/13vqk2VnfBOTbYdytlRN+rN0inGYT1Y588AbLoUulVNNNx1mjPMpdd205mbYpz9uk
xIwvkqJpA8VL8K3xvOj76h42+OiWdDOUHK2u4XsW9lmlicYLckrhs9GT3rAnYlKf/bkRLqfmbipL
JsuiI6YYaU5j1ISUPdA4gnfbXnPT8pzx2o+hwIL0uszowx1pajGsZ2IJ8RKA6VJamFyHIyGtd9qE
G5zv2Hw6gJ85iQ1ueDj8GHak6MGoptUY1lM/JF+TvlIvOBqrjZ8ubk0rls1fnlNsm+NOpGP3WZSW
BIzy4PXLjZJCGT9qmya/4byem4FMvfLUSBM5+QCA5VnkSPVudNzsgjgD5x7HaFP4EWUw8n/yjCef
9HpTQ2QzZxeF6fWfmtbL3cBoXDX1qwmFXphEinG/OFM8+2LKlo8xOOlI9z+aQOxs+DnbFiI2zVtl
UdJgrgWcga7BH5jY09ZyrjKHRodPgKO0dotSt8beNJNE5+g0RjKo0QGSW2Rp4gNyfKfd4jwXnTWW
7PWQvpHzsIL/xTn9LP1DL4nzPs1MqdtHzWDoebiYi0so8RTlZeiWU4EHdoRi8KTGYWU8rhR6cYHU
Z33knBuJPhT91MRB0ceYjGQazo6BJlvP3GIlmSjhUFpFHja5UUQ7pXXNM9Musz6IewEBoiMzzdhN
GsjTNk9nuHJJLYYPQkscTlORM37TynGSvs2SY/p0hxN5WvXAPHCA8U5MOG9NgUe7ufEdvXOtQMnl
cjyYQmCyYo8qfiu2IbWw1yqk77TAWy90u7y+xjcqAnqolNgLsMDTkBAW8MG+DJYSuQBjGJv71pQr
n3uB9a4vrEn51KVyHMO0dKxP7jiqnz2Q2Mjn5FM5vPE1HYO2ZbfRUsAvw53ab17d4n1mZiqZJFWW
znTkO3nvVLm8VKZpwrtazgbIIMzxRzpiOI7POVQYrHDWBn1fPswRLMjdZC/zFCxpHmm+9FwcxlIi
R1hEuzIoions8zyJxbcezkkfjMXinjYxTAa/zlqmjZOk000y5Na5CTZOp7LyWi2EF1RuHXxP6ObF
swM+UjfxcVlwt6HW90gqB6zpyrBuyJUPqUaaOtStzoP0p/WcGEsWauJszI5EFLRtYEAeaUvzhpai
cwbEoTWB4lggM95EjzeoZDpNEF3K0TjRYwtziFJVv5V6NNxVnUm32RpJnkOOWpimP9vLoO0mJGQf
zSyr6N2QBHJtMQgbRJ1JCo4RW8Nn1abj6Mc99iPwfuYJMx+E5U2YSoauP5oJyL5rjnSRUl6BBo81
ju/jKDHP1D63Rl8ddIOEepl7ZRBPttr6bq1gqmZK4pW27mDk2StsqJe7jgEfFJcCQrDxBjo0lrCR
RS2L1eOtuDTaJtIjz6cT+lrUwBPd/ufyFWOMVYBHcedAuiF1/Hn5qndqMoipg2OCW1APxtMpdqD2
TIZhWLKzJFM7AOAs+jrmiXWiLUCmoYn+bPtTbfA3u+xhRWtzl4gPULNBbOQEeVBmJsJox9Y22o1d
l9qeXqj8YjWZ+NimlUlh8c8y5G8utZJ2n98xfqBQUhFfIF6B3/v8jqsq8jRRpA187SEtA2lOltjk
2shb9vrG1U67toAAlpQ6PDrO6eoQiKxO/7S3/b8K8acK8SlM5p/vZq1An5WIl1Spff3uQ/qt/rk2
fPrUj+LQeq9z0rc0fNIs/seizPuzOLSd97QcVhMIR1efVOR/FYfu+9UHA703B0zLxD7u5+IQFQgt
cmSYKg7GqPnfUhy+nKVrjWmvbFLOzlSbB4MplTFyHlFCsbHJo1+GMTQFPAu6tyizMdUpwhaT2v2s
O9euOgD35NWmMbJkXxSLiuDYTo+clGIx6V3Xl5nintpFcj/Tr94nSesFompPtAE6YapI7yLmSL1v
i7nf/HpOHHLA0Ijh9oLkCds73CgOVWljY2pppKUlc4KYDLLVRFhG6aVVqiJAKA8ikWlvDQHGVAMi
OvRVin8dxidv9me9BwwD4KC5ijdRo+ah4RWP5A589dTyrXrZwwsdtE8Gb1pSNyrijWkWX7sMeMAt
vZtfP8DDcbBeg7tRV9OL1dHjYBntByOtkj6NN7SZyfQbBfVO3zWvvKYXDqZcBveoNa+JsYsfxMGt
2EkDFbQpcRxwBy+kjD6pS+9zlFoY8Xe3shs+dsQ1ODns42zRrkp3uvz1fa4v5efF8+kLwLD/I7UJ
N4XnL82upeY1GXigl9enBZjm2dJDcM0ldCUKnte6pC+2p6fr0fTDz41mDtkuz68HUGQgelspeEM7
Bxx+7hMqMJi/7uJHhXNReVhBdpZ5Ba79KO32+te3C5X/5Q0TgoGHPVN8FcQfSECMalLMxSRmLPWa
PdyP80JZ9I1pZ4/x0CxXgAVXgN/VrpSN4XdOcQ917xHTz9NG7zM/KRsR5jPC/1pdki2cDfNyMN3z
NgWucMpTV7HPlyx/VIV5XqUuQMAMUkKYOIjVAFCmEW2+L2nZXuYaZSdn3e+yoMbv1LXQj4yrxcgN
v1rSa0trv+aRfSNc86rurCtX5cqmE3/MjLEIECzdO40j/HbpRLhebewhEK1fw/VsCqPKuRkR2vrN
pF2ZQ3xPJp9BlaZ+ISHZ8+X6IyvXrWs1mvoNyT2ErCdud2SLSQ+SjEsVomoCE/pAiMXRcmV2tRvi
qSb8RpanaaZfZcKljb/emZ6ZZzM484nZrmteqmDMpYw4Szhtfpbm4hbmLncFFrucAVEH4zS6oQIR
fIPrzHlrEMQIiv1FcUT1uffGKISz4wU1MhNfKUGcrVwa3JHwdnpUZ37Vlvd24ZxP0j23sr4+ykW9
nBX54G1ny72xI3vyWcOXM7cxZeAkCTpEI06RO0BlY+c516zK8PXZI6BQQYq2OMZVk5f3+Wx80lNd
Dz1H3EZlUmxKh6+gpdX8cX2vkVOdZr3j+kS2JBeDF22ArrRgaFwRWNhJhrIxlY2ZdIZvisXjNMhD
fnqMk4kXReZCKk44J310EPLCT+UhzKBK20qrvN2cqF7gps45Bo7ezurmeYdU3kUAkN6bFewyI++b
rUpjw4/hZG2EApd4FMZyVNfWVV3YFic0hgLwp3Uy8hgSqOfbDoLkJlu8+SyKI+iWipGHFuEsQVTy
x6hii2vb4tEdm1s9cY6fvnsRkyihVs5xVS4cJif49lJ/5Fh9g6Kv2SbgcdC8uEnZJo/2HNM0iUcd
W5UZZqFGR2FIZb9xs5nMN1lclTYxGC7hZZvU4HvnXrpsvUjcAvWpoZXZeZhq3uQTbypCDfjK95I0
3hpZNe8qwRR0qv52sRgAipU+KrFJ4Mvc3faTk28mF6xuVIomcEDQULJMbK9e2sBa1K48DbISZzY9
ULKWT0fV6TppVMkvHlHABFHDX6/THR5fx2GMs5jE0Yu+RsSvHjzXn8v80ZJMsmIp76GPnkPFOtOj
8aJVvZtyQGmVwyA8a2kGrZbP3i6NdOEPo3m1RBznWjG56GHt86qC8l0VqeP3lXeuzcYV3H7h63Z8
b3g8mLnWuEbU3ZLTdGoqza2i8KRmJ/3sCGUI1ZEXpi3cpk7C3k2GU/JZ4iSzb+Ycay25TlFn+Sbx
Cgwm171RlwURT6nckOExQZZyb4yYpqYo7quYKYsq5EYkGrmkLL597+RhK7rbrNSvurRh0gLWwuNi
4KsRVEDce2hCKvAu9NGCNAJ30TBZMhanm/ZN2k/7qcSBurQVAzKU2vsEeSXn4O9LFKCVyOAV8mos
wZdU8aY6U2l7YKrkMkWb4t7qbe6ghGdCbybeKm0LAUHW5bdySY5z0yV1qWHGi6y77ZwE3eFw25Xd
LYX+6u2Cl6pjdyzKDuPETfjetZs8FilSg6d5qjTOTVmoy27IkMHFII5BV3f1EVRrZgVElxCUSw9c
qdxMc87gUry9lxfN1sUn7ANyxOKTdCKQTTXK5l3hRQ8q5NpQnwxlo5h8KlL1qyIvDZ8tM7oT+ND7
1lr2Rd66NLaTdmo4EFNg31jazhAjNs+WM15oPe9yiYfp0jVYBOHG5BsO18axWcUeUZsMbSIyxOzz
UpSjOIWbVXTK3TzFyaXhljpOGnV9NOgs+LlV39ocqZg2mNmfmoh6tuQx6B+0JaXFIZWZkHNnZqU1
coUEiIRMK1yxLT6pDcpRafKVIQLPuxh4b9PNkpW+NK66hPDSZRpkwHE/t2l8ZeJzVyTJRa5Uxcbq
rDtwrTw0tVKEoyfcEM6PejuhNz1BQdJATVObL5riTju3iuYzpcDVAAJxci9iJf+Qqsqd1oK907Bc
31+mog2G/6Ns9FHTN3Jsze804KDZa4YM8pjJIgtAYwxFis0E2ypEROFunVaqt2NW3E8T2/O6OKHg
nfYGG7aLqISdqrt92hapW6/msdOJicqaQKjrvphH3QkUFngorkUiEOOwcpgGDQuGAWoc6qXVnZha
rwRCjBc0z9KvdcUK/rRG5Kl9roqmulaq7D4ummjfxJBz+1pPtyzx655S3OATXviZ7cCTYj2eaAsH
eZ0+Do1+2RjDWVc738yk+FI5+UkOXcxfFvZSMcFTrCuCOzOp6lDpmHA6S9x2SOkW1moBzgER0zfy
cj6ZWjU/nSeHg0rkdmGtOhF53eJYJ1A1E7Lc6oU6hP1kTZe432WBGMW0r9BFB1SUt2613qauCi7K
fCzydvk6pB4gQnKfooXyyQB/XBG3QGvXSbsWGE/lAgyu29nO7zETb9izhAFJSr7mP3gIw1EXY1gG
oK6C+5uAPM8LRaPkqFdNS7IpMCff2I5yM3IlFs3scUw7nY4YljK6aqTBryvEp+7/s4rYxswD5Bug
QqU0PywQp7mC0aLFIHCOvEhSJ+z7ZG+Y8irKITg3GgTzGOWkr3ZFSD1yZvfKJ81pbzMc8py8wtDB
ZD9fTIOSDUGi2rXQVtpt1i3X8ZhnPtoDLUiEOI569Zvl9gpsHOUzUMi11XQnreY223ay9okSf9TE
8D3TiyMtdugkMqxlEUGkp4GalOkegQhlWiGnc0vp8305M5eriIXbcOzjca3dR1yZ/HXMWZl5blSs
OpmxamUKVkjR5xez29iF30GbCbBDpWosPKbkKJZgdOfSL5t8Clan+82g6K8YU704oKK6wiCUegXa
BPYU+vPXWzdOY4vUVUJbpwgB1KVI0+zjxYkfs4bVk4318dcv9smX5+DF4oRFW4wGBEPq0B9MH4yq
b6NCCav1SfFyTIy5KG2NxEPGKpYvg+sctxm7SlmYOxm552s5STSS65ee1AN4TRTwC3vuWjOpIyXQ
+pY7ioHZyO9xj8vDkjUEWvgxkdGhgNh0XOvFY9t0t0ZDpTMsnGsy44o0Aw/eBp3UNCVeZt329SQt
EFKbV7pJ6biWm8pC5VBShAuV2YlkIt+IgjUgkWpP1cah5ammkx2gy6K7N65giijsT3neKUfayNsW
lXXeLPxLDlK3U6aJmxp3TNJzRnhWXrx2+yO28T92Rs5c8cjGMM6qspmmBLqHJzoP7lzDwgrLGx4Y
u4Lnzcpa2ImQo8o9bfY8XMstI21vIQ73G4rnaB/jv/P16fW9qb12U5f85xBJfYbF/nsY7e6hXkFN
cfir/h8EZVcuwL/uuO2Gu+8PlDvNw88Nt/UzP/ptGogr3A+8jAkwX60P/uq3ae9pnK7RGyrgKr0i
ehw/wFj7vUUSAngsayCRVasl1A8w1nrPdsm5GXnECuWSKPqGftth+wEiB+J+B36WzoW8Q4WwDczo
zYYcwqnUPkedvvg1sZ7hOIHHIXJ4hZXw9Ot+XgLWyyFG9TB7IjPyhcERQCEcYjDRsItMGy49y+8G
3Hn8GpfzsF9GgfUaYkFCza3YSb6Tf95UR01naMdqvvSqb2upmvipM+hfOr2AcFxFygeMjWEkZ9rM
5K2AFcLKAPQKMm55h3y428GwVEHRWhfjghbF1gw/t2Ay3SRIk5tgIkoyZYHp/alUj+d5mQTn+6gf
wtkCvYvtOYlxCZpRyMyRzK/GJHHhwHsyu/pp6PxNI91cmz2Hj8eGxwM+TuQuZqHPF2UlIvYKhJbH
4xXt16orm4/2iH3MxlbQYustYV++PUmH+OJK+cr/M+Otbhaw9RVwOWDpLEE8uGQ8AmdSOWrk9rrQ
iJquBStI4BEaLwJMLzH9WqpF820YgUiHMjmgC0QAuNFqW/supMyy7TB4NjzkbIYtmlktZyf7aFJ7
ZI6OnbknaorQb5wN5bTGLWG7OAu/yRn1As1PqcVXRpzkt2hGfBZstQt//aSeIiMOntRKPQHXYBcD
1zloYy1LVzSYK9B6mRbXl7LQfAumfOljSehKYmmz5pTsB2WnIcbqtcHylyHe9AmhE3qq6SeVNk3X
/ahaOzi3qDoFklA1Vz8hiY93pZiKtzYaGflYJZBGCUzrQbA4aHtxqB+bXC/6ELgEWvLiRkdy8m7T
jj4AO7SAPQO52JjUJKzSpd+Wa/hAkXfyFQ7eYV/16XvAukAF5azUtIMh1hcWUKYV9+HS99SNSmQg
uxLOa+9n/TUH74ffTw8amwtMGw7tIbOsbd0iz/oQV/AVwO2mkCOBBgHOFIHojekIb397szox+cSB
RnvcQnW6OBgca0VUv/b0Xy5zawwIrXFC1wxCYw9QBWSrlaPX+G+hKmxP9bpojlEn62OQrMB/lIzl
lWpEiI6rEqJ6pi/7GXztZMi76sLR+50h3aXaZvz2xB9lFZ2NQ9e+5mN2WJLB52V1RKdvoa2ynMMc
jKmHrd9FKhv7aOts6unZolX7HiB9P7gXPX3hPx7Lm7b0i+ahuu67h4ceutThdvxsZ/+fy6t6cnD/
13v4WQ1P6aHr7vqf9/CnD/3YxPX3ECzJCYE1ymb9ZBb8AzTT3wOkkSKyjnUTDhwT+69NHOiV0aZi
voEa/yfMzH7PnsuI5C8tx4Ng8ZY9/IXvFsFDa0GNjzGNfR1m1fNtQ7qjsCc9n8LBNsTHDBHhlySf
doNZqGgCzFHbj8poXK259w/0J+1LPE44hxqZwrF5HL7Yca7Dlc+HEx0bDWpnvfhga16R/bH9v2m8
/Xv14f/csUb/+qet7AVCe30HKe7dSdr34t1d9f3d+YNMxc/D7unzfw07a10QoMoBGqx+23/Vjvp7
sgFIimYEOYyv9fz2Y9jB1tMQHUFvxgoR+hCL4Y/a0XlPlccPqcFWlFX13jLu9MNVFV46DWWKV1Uj
N9s+DATJmnTWUjdWQyy9sjO7NvMPRmUQtIZIT7/MkKyRSlIne6tOtXhjWLUUfiZID4ZqxSmf1nGP
iXU0at9qeHtbddLyT+k8EyK42mec61imcxzSl5ajsFUqJ1jZfHVjOd3j4GM3YUUCSQD9tXvAam94
6w7GzbFfr9ZsWLKyGK83/5N7nmfXsVcRdxzGyJ/vUHBpj5NmK6cZtXzqewpFCYw17VjBaPXaAwDV
UBou6e3SymMTV60/w6bfNHn+NyzWT37F/3qxDobu7tvdc3rD2pv6MWXc95xlyJdwGJsMyzXi/MdK
7b2H9MBfG3DKcWdZabE/poz+nkoIC16HnxF8sLrD/Jgy2nt+HQFUHM9oTMEfesuU4XD2vC6CXcpS
zYJP3CwD61ABMeP4BXDE9k6TRPnOWEnO8w5x3IlsOpVjPeRE6IPVFrIqko9F/bIQHXMixeR4tEVb
BIcxAtnZrTVvk+IucZUqNuw0relG3xwFmlqzEd11rEkMeyDm0ILOaudISzxRHFXQMx+lVNPjpZKR
hZdaDTxXYiCXsVWdIe09yWl+A1OlyxfXRJXsW94onI0qltBxE+PIxEDECgpzNArqIKzFQ6wluiSY
ZUeUYB8Nr3SpDlcYXhaFKuchGkfQkg+r1WFJskhFcRsqQ7HHhWkMRml/UsFJVmip+aM2ftMU+/9+
f1ojov/19Pp4/e4TKsy0encsCjao53vT+tkfE818T5mKFooWBa/o2d5kvVddi1xj5FFE8EFH+Wui
uexNuChTraxO6zDQ/5poDjURzqF0ISCbw0J620Q7mGfQHNjdkDXBVWILPOR1KBRmY1zpyGxzudXT
eTe70SuHCu7i2RHn8BIHOhUbFo5n4M6Bpy9SsGbaYba6saV3/dPz/5umwOEU+OMynKOwXEILdmjU
3Csyj3uVKNCoGLfEB5zWNWJey/uk1MPxry/1xBD6+dS2Xosy9o+oAhN38IM9z6q7Vl3mKHTJGEq0
Hkh7BaogjEbA4RUWFIY8qWG4m/iUp+V83s/m0RwbR+vT9cZ5pyr2K7f/EobgK621MkULDejDLDsN
Kjd+ZYTroOj80BjFUTLGkAuHk3h9sdD1MW19xVD5tUuyGfy885sYUGKzBQ2iVOPP1cxlIVVPFf5L
QwaYHUNN9t5oYv704H+6y3Ws/VRs9C44eNdyl02RBZma7BMzP3rl5a5n3MOXa3s0ljCJQN1xOJAy
Z5Y1LRJeblRfLmr1FVXDkcK1LN04s0vzTNrDieiRIff1JTvha9dnrXhxfYfKE8tUIhaQPz2/x860
Bp3WOEJW+bUxu4ulL8OZXSmvyBaP0v0cp/vM8j6MXnHUlu7HRPSvuM++cN5cH/NKLlwPTBTah6CH
F81ubMgSgktJRsGSfdG78rQB26HT+hFcLqzTGGbyuDFiKP0aZAIXfwIXzuGgAcMDjsfItDMmHkPh
tPCGkxxwHX/ZI4kLhTXUr5DD1vl2+MpQKJJp/WRMeUiGxPOgsrFk4pXNbM8iI98P0h3+yMboXaMy
P8FQ5qxSxf2vh8rfrWzYOK/sYc9APXbASSsjhwk3VozGarzHUOGyqeWms5MPv76MsU6kw9tzsUGE
b8pRhrLt+YgwYhd/yp6coFy9qfPmsjIR0pbAXU1fo3y19pnEpiiOt2qunK5LTFYnG+CPU7hDp2NV
XDXVsoPT7VOvhJMTX9n5uCl7VOEK7TwDCo86A4BnEBvq4shr2gvQ1BA+PxKWks6hsVcRnHBxnJx2
v763p6r15c3B54POyhGJgu/5zS2J6+ZK73hhpXk3iVNe6pM8iS3vzBZRWER2CNU293UDT6O0P57s
Jvb7/G4Q8cYrs31mmL5Sp1+macTaMto0nCfG6aJl+MGfC5pZbs3ICuAX4AWFWMrpcG/BH6noDFZI
+2hZsg9zx7jskKrnCgxGSNfavINFezTpcjMZHGxEvKtKi8apJJJw2akg1JHOyoqoSRPjvSMgsbfW
UccTjfn7xBvPrba9iMqv4NHniSGO8bA4nXVlS8rhh3mEvGN5S0iLf4DAmEEcKE89R24iYQVem30B
dqPBhstDWV8yy09JCgkcqHMxblG9XXxp5/6kdNzvo6FshcDTjGCoOcn2y6Tv4Q/50bKEiGCPqnnY
Wmp3x0Fsn2bVpUyhoCpJdwEv9syN5520k52FfSXW4zT/o2sMA+6UxjCCppvO9ZFpa7qfSi39AAx/
kbaFFTZLfiOxi/a7qrjMPPPIw1pXiZPNEPcXrqscD3n63aWbzWa0q/FAKxq5+W/yzmW5bSVb06+i
2TknouniBSSIyYkwLyJFkbIsytp7e8KAJBoACQIkLiTBEx3Rk36IHveoBj3rYc/2m/ST9JegYDNB
Whcjz7ar2hVVZUlWIrmwcuW6/Otfjl79zZnxRhvNu5m4F2hCofWjC3t8I5516716bTQPSE9jPIQh
8RtfbGQr7K6QNUMezmteV1t9JhalFOnxrVr9cQv3IIPZGUa12/b1xvIG1pxhAHPggp7o0mZz6Tql
88ArDcVa/nrHANvwgzG3B7o96YaRO4QLY7DYCMqDetKLS9otvZbdtWUPRHVFQJYWpd0nhjOOGnUU
r7S7qDnrUWTF7ZIGjMPY9jxIQ+Cq6K9KxkdhdUpOuWdVaqOma/cATXUpB/ThXWppMYQoHhx7taXh
wf+xvU9gHZg11+K/LXjLuTbD+GLmGmOCrk+hC7Uj1JEYTBRkU1kMZ6tyb0lunj7S7qISXoQrWiUm
GpQU9qAUbc69+WzQqFvdjb6+rPngIMKks5xEF+4aHoXNjt4nBEux3bHim4k2g1wy+EBnTNfXkg50
aB1rteh4G34HskbamSL6eSsPobeAkqlMoakaXMShNhCv2nb5uoFj1SzdQRx7sdE2XRAy/bIFX9hK
tPRBp2Btz9e23myF1Ku9dXwRbawbnOPBPNkxzX6S6gCAqkGiWV+S+a63qgJRtAmdqta4YdtdjbkU
4mJtVG+bkDnBfDqog0yzEGsgXo1F63Hg/BECGtAWG4AxWn8NK1O9Mvm0qG5fsFCnjDwsoSSbYWeg
0pYzvrsAsqRmVDVoZQo+6PQuWR4pw3r1hWu/mq9piTuXCTokUfBgmxXR43ro2swmmrtckbMEpjT/
YnOKg4YF0MG/dutJJ6xoAydZ9GOvQT+WH3dXJe+ajr7fxZ1ark9+s9doUrhd3DSa0W+0ug8nUFzM
ti+NTDriyN3vkqZzCM9xtGsibj90wGgg8BaTptEpVaChgXrBbSXG7mFT1/qzam2w5f9LRmUAVOt+
V6uOgG0x186btyx/1n7+5jgiSUi3YsCoLRylCsS48laqdXfj1tyG0Uk29o0TNW81b3cfz5NetFh0
GjoF01p06W1WJlTf7ZWOsQD1+vweTurGwRZy0tiuF6VFqLOFem17pa/gWbN9yiKhfvv8c04pB9lL
jQZyYCHoSE4J18z+K1WjmkHJw/1jWdZG4IyAytX70c5Izwh5iq6uJ50YM7Sq2b8nwQf4G89rWCFj
woDn8pq5P8bQD5zBIubY2vELdLenOgS4v5lBppPy5i85WTTIb9AWXDE6sU/LXbLu2hDGhKVSdwb9
WMNdnwuEZlyCd8sCwQpJUet5GZ2I/0T9n4YyRgfWa2ny/0AzSzO9Zq+2ZaOzqHzehjZDA6sPDn6Q
670U/p2Ie/QybBIkc4EdNPM11dJS0/25S49mdXaxiGtwzlc7s0mzs6wmvdpSwyLvISVUjb7TCZ5W
PXMeII8UBPIC5lDPg8zcBl3JkcMjQYp351wccb3ebpJLEo5uUIH6UIfuSfxQRJ0CohrXmktSxvO+
0IiEoExb1QdJbdNNtDVF02q/nrj9RsMdUj8d0OR6EUbW7ztnCzSx3IsX6+5qs+7OGovOlt9ZbNdd
HS8osKxRs7EYLpzSHc0g4+3c7s5W4YdKMmuvm8bQmXP52fVBFKzbjlWnWOkMwgVY82D2kU7plr6u
91eN2eeEqAo44F3ZXQ0DNi1+P9quz5OZ3Y2WtX7EbUNqm/7UuEuL5KC0tX8X3ljM80C9XUKc3F26
0cXas0bb2YyW8eiDlky6a7zAZKcNKmBpm4TZ4pTEBj8Pgw9lLCZkqX3hLG02Mfx+1u+WVgLfL4DD
swFl+C/r5rxfI1bW4u3Nythdxx6NznP66htLXEQnvKjgBwtPS+eyjdZrbje3P7FLXbtcgk4dpsuK
1eO2G0Ah+KBVo8udtb0S9jsJtMGk+tlZTW52S7eLx3sZGvQbT5YgKXFFJuvmEOZl2B5HDdv7XImt
3oRGi5U/uSuHuOCN5pA0BOnDOvh1fraL2uESLTCcjxbe5wqvV/cBh0XGMNHFeEx7sIGiVMhwHa0+
lBfWjUF3LrX3nvg9Z4djyI1a3taprtdGJYP/bkpj2NS+wD818Gfx5aJ5G6wTIr16WzPi86gM4o4L
vzpPAGPNP859twOY52anG90gwn9y3c6mnPSEI6PNjLsmBPKtxqQ2CktbIFz6pwnxyMSIPjB/8Wrt
rC+1ORf+jHeKrlnwepTni2G9AUZw8WGnz25mAU53+Jn2zfZqs7gWOaPmBLeqvulVlrXBZrG+WCbg
HbmFIjjwYFv8uEuctuVvLj2CU78+/+gRsM4MQMmlALHxyzZwjcFuaY9FLkToSGMLoBgztd5gntBB
ccXS9HKR6MBVw11PKy/Q100XcuYLRu12ogn6SYt3NYDhkcmr4t0E0Fw3Fg0SxKWx7iOgEmEnHH/0
ZfcrAZ7c5pYj/el5Y3d8+dFeSM6XSTw0zjH1MRd6UiqdxXx2A9GWxiIeqGrx5Q6vUqiBN9P6ztwa
6/qu52hJL5zgBtaMF8LSI4PLFsTMSbKG1OOZpynfv355VQ7Kta3RAe3XXXsRsDsNfgG3nyyeajrP
GEBxwUkGUCRjgNlSkmjSVZn/vHSelGBhs5odrT4blGgUgSgaJklo02708q5T2+HGh9r8Y6lud1fY
4dmqcreyt5/hJ7hZJrAckoEdTJYlxn1tmGNKKLzd3Dc0pw0zbaOt+YSc2IbKjKspWeOpl0QFa+4M
1jsYJKKmcHOEcAnSlkurFztwPiQEBQ4luOpG8OO1RbJr18ALo3Lcayxp3tho9N0v5v3JJL4ENT/w
9dqI/qJBvUb+SHduiD9uQo7OIthcGQ00KtlMaMfctCA2wPlPtBEE617HsRstOjt37di2fps1d3ar
0dhdeZWEVioRgbrYqFo1ooPCwwruFkMtaIw2kf27V4Pcee5fR8HCazW3k24AvKS1xF5C2YONRVc9
Asfq5AbC9TE84i1vU4IwFZo6Pn1EF77rlcYlLtt2dWHfwBZSbSVlt69p0X0psKfJtkFjSrPWb3jL
62YjvlhzfEukIsDO38xn8JKX1pMxM6valRpvwFqVhou59VtUIyIkcvTWHtQeDEPGEgwsB5ZBZzaY
NL3rqE5QV+e6sgnWqh4xsL8+t1brbTu0rJtVVAZyfl6bc9dFzWGpaoznPJOU2UcGfZ+Xd+5wVa4N
mPYxahJPuyWjK85FSC9EzdP620rSQc0GCcE+rGR98Az9uL4+j5b2YAmZ0jywboSZpWntE3SPLT2K
2+sgCFrastRJFzdmfWfrzlsubQGMxmanbj+qcinuRFsaP4gFW3czGleXdXEF0xdWMx71RmR1GJx2
UbHDEv0NK4pEzKmDvnHetppfmLK9bIVLXq42oUW3NKdZbHtVayadelQHWeuZ83lz7ATxVc11Pzaw
LXrkD0XgPcMoM6Xwy7Ic3duBCzfsAjbAeWmXDJaJ+5HGmTtojW7CavNmhXHuGvECg9VcXFvh5JMI
sW2YEttbQOqlID6H5YG+EatdaszB6lvdBnT6sV9vxxv4Y5bE1oyj95b6RZk4mTa9zw2HMB5/260Y
TquBzaTlanLpV2oDUv4DV6cvMMQ7We22V3MdPmbmhsCUuKIsVmvO/jC8Nb2Js0UnpkRyKW76wLNe
8J1PWA76nPGZKY/hPeVz9RHpLaadQCvQNDZ4RwiTi7chjqDmDedkJ563zMePEy3F+PzAp4An5id3
lZ2Gva3RPtUpufGl8E9souam55lC05fbzQuPO3ERgHwAVkNrriD0y3MEJZANUKbd6B0fo+8SYAeO
DvforgzGH47yyvxzObHHm+Z86NiLPqS97a3xhMf8T6gHFgFGi+185bL6NYioADodaMcJEMu9KWFW
xD/P6oK1d1WwJSSOmWPKFAeBXM4K8PwI4inGgJJ1EKV5ws6sAE/xDz4+iokNfgUKDaKsrADPjyDU
oAAPIQ4gk7fxC1SOgpwGYC3q7zBkEeoDQZZvd3ChDX03aVbBPxqlXjLX+7WVZ0AWvPlS3TEBaXNL
JjakT2PzEMLAbQA4vmCaFt0bi2YHFuOh662rI+jdCFFq2qge/ZFK8j9B5/5xMVKM/ntevQRGqmVC
S/bn393pIjnUtfR3M12rviNxRfxIsgTOwJSVItM18FE6EJwmIz0xkinbyzddE2VUTTShC/0UavhN
18AU42SWG+DeqUI33gL2OK5vCAgK61PAgSOfmamyroUQSemleFPtMPsDpq4Z5NVbhlrxt08oXa9s
VXswKU6N2eS24SxcmK2dUjegIUSPgaRDjX07GTaDpgGRq0GfXVXveEbtwkvgLpvF0V1UhvhpvvBH
Bn6fXqJXCPI9r71eT+LObLfTW9Bwr3v6Vl/Bf7QNugnM7Jfl3Xwwn5Qe3661/z+AkzBq2J9n8BNj
obojE92dStR+T7+YKW7tHdgk7BnwMlx/dPDQSIJmp9zP3K/KXgW/GsnmO1K1cOxotJmnv/ZNcflR
mYa9MtCivWV9Q09IhQOQC0oApRrAMGgNoVIqAIRSMtT37Vky0WqdDZO00aLGumXUV3d1h9kwyztY
8+atie/dxh7zY5aMuWzPXbhGlzhg+Fez3yIHjn2tYb+UpE0TUHKwRGAGUQagE0hxwT7K+9q45MG8
+roGnxmo7Shce/16UL6M3eTeXhFIl93J51LEYDjb3V0vlwGZZIjMNNe/S5hPcKFTDHLrUH0sm58q
laDc2lC0JcgbGRbOtW65xBsxISWW/noHt1pH3+j02jIgrB0Etdl5x5ozrRfydejOaH5u0yraq9Il
3GjCME+bXgIfSvkSX9ftvP10/Sq4pKeLTPgEpI9kZsyvLJDipyn9463/Y/8o097TCz1xHu3ZNM1H
aDFhvogC5yE6vClq9XQSuIR1SjeVcnk+t4YLYWgUP8K5qQksLWxJOlPS0z8cftf3rKcfl0ARvKN0
JbIEXBr8wZ3ggQdC+p4Ynv+Ex0yjx+tIn+Dhe5yiVQEafo0Mcit8k0HNoBcNEXCJph9RMLocysAw
MGYASqA53sto/8C/Xgbf1QR4ZkQr1WukkFvjmxSqMGDBbUatYi8E8aYPpdCsvoMdC0qdFCvKv0FK
P0UTcp9gmh5SwS5Lm5SIogpJQatCEgujlbi10j85XdDr73DgSeHhXqV/MNG/mBTodi4shRpSIF1H
MLL/lOB2DnVhbxWaGI6fZQ6+qwQ12le47gspQY0OVK0KIJFSafqHs3X48ZuNd3jcVbIFT0ry60kB
RMYrzWJOkt8MgqYJpLlRhyDhpBI0jXfk2zAZRMLZUfm1jkJa5SuoC1r5HS29wvw/HfjcUUAKPKbB
XVz/KqVfSwoA3ERjS7ETYcC4XSM7URV5Cv7kTgT9j4CbwRyLiPIXM4goKO+s2MfXSeyAEwTXvf/4
HPhDg0DDNzkcemgEJ3n651cTAhkrUdgvJAUMAsDSssAy7j8kqSdZClgMrAFNH3sL/At5SCKvVvDj
15rvqOPD/gqGP/2TV4Jy/R1NAcJR/NXePpmZWuFLERNAIEBHxNN1cPT26flkygr5pf2t+YZL8RWK
8jX0asNT8pgGXc40PJha8OI/yAKS4wWeAo29D0kE/jUnlv5TEYXtF9+7muLrf5eCiTQcOvihmPFw
8KX0b/eMIAc/zWKpw2c9yeN4pyc/Q/bNvjMNzOCB0dOpS/z0qfazFdqmZz6aUvSIUfy2jaOhDV8t
xXOr9mir9kQXTbaUEKHoYCi68Gi6zVH8psmQosvum1OvkRPTM0R36shZxbCbSJksZrUX/wCfPCea
Pp6NIzOahtlyqYKJcLXo52izQGC6Z+8XU5IC0mulxNDkcv7uE9jMq15t2wyc+/upKYmGFACdUKKn
74X1Tynw16zBsVrL2YC3//xpO0K+zDmkiyA7EoeH6plD+Q9wgN+796bnSK9agZq+9x59eAGy9ykE
iFn/7st9pe68j0WySlq1okDrW1PXcuJFtr/0NFWyr/a5MsnUvnK3LT9EsKk56E+D3dTy144nbV4E
lEVlwubNIJZNgQIL3Ipdi5MqbVdc9UW325l6CzOYZwsJWYusQtFlLwLEIF8XgjWi6LLg4/zc4RBA
o6LLtnfTB8bpZAsJIYihCkWXPXeO7kyBCy68rBn401NdraIPvPDigek9TLN1Ujuh4ET3nHuuscgM
DhcWA8OKbrfHnAAvnCbZSmLDore68LrTYGF68rIq5IAfJUvXUHAq4Jolzy+pL21+xYVAswI2RxJC
BaKNwsK9eDgyDiS2Fawbma68WwGaKKoKg2mQUzB4uhQsy/izkZnIxdW0hF90w0MzWue0QfCzFV7W
iWzG6ORXVmBzxq6/Nuf5hRXIeOhg16lfh9HUkf1bTYF5H8ZMy73348DKhCusDwmY7Msfd1XAjT4i
k2yhdN2UsiAN+Iqs65nyRBV6c7KnFFhW2PZsmXSzIjVSVOGuppE9DY64G4DuKVjbDzambCtUXM3X
ft7rgaut+G6vGWwYW6abrZSKWEX4feNzy8kHj5xX9pgfVwhxoqf5hQU2pKhOjFOrGTiezJujIuoY
M7ddMhKMe1aw4bVJQBc8ZiuJVwfNVPZlARFvpo/y5ZEyahQW8MaJdvtTl+1xv2UFB/rTPEDEknNJ
ijl7zI+L4ikHc+l41qMvh42i57CoSO5wrsSwUkBnksWA9KX44oKyb+pNrUBWaBVRzXga3OfOtq5A
2tDpTM/8Lzgv0mmh105Un4oK+0rMcGXth+ljPtKDuUmFP0evvL+WpA1EDXIdBY7tn/9dmP9ToRmY
E0qLlBUAcgIPZozWi4/7eak1pngfDMb90dTa4f7F2Sa1fvitrnBlssy+lMbLfpJ987nEdMu0hU3J
9C69GBVY7XayzOVwBBtmUd3umTuTTDHDT7K10v2KGmvRpS8I27NV0kUFI1LhRcPAnMpOh4orkb2u
ss2lexWMIkX3OvCDx5wIVJijy3hjOlG2vXS3or5YdLfDKUleuRoBa0zxdT/gzmWrpJsV/H9FN/sR
DGSQLZOuKvhtiq46NuNH5+x9YObvKFFTLrw4Y9fNbBmxZQAL2ZeF/Qyx57PuwoFmN1fyESNSi279
t2koWgY8KSVbrSsQyh/TRc5hVJHpvfLPULp/Cc/ykQ/XXHFp9ERAdTaO7x9P4GKpz6swy8C770/d
2VCvQkerIn57fx+fjeJQ0sin1RXI6D9uuuPuzV2381/PhPKQED0b5/VfB89DRV/Mq4e1HY5D0WX3
vKqeuqyfucIVlvZqYE/Kryrt4UN4fIoXynr+A+XNF/6NVFD6SbX791/yRV56bfKv6ekjv7Lm9d7D
dj+I+CVbZ38tCKSU/PrfuG6Ys68QExRbsRsHvjx7ZF/hLbTNfTRxqnoOju/I63ijCETx03RzchAk
IMUEMfZjIqATe6YJLB3HwjajJLvF3rbnD+IkyDumD6fJYG0xmhZAFybi+HJ/2zOucResfOxGhyus
L/DLa1VovmnzFSxNsgLGQB2Sm6nl+F74Su1GZ8ycIkKSCqQ3nVVcrdDwU3vWnXjtg1okOJ2HEygP
QWiDPWXgAZ9P8Js/e1G/9nGjaegv/chcyK8KIw5yX3AoMnRGB6R1rMI/IMSRadnB9D57HcI+MFND
F/+BccyA/BYU+NFZ+YEHfUWawBV/MrPLmCD4tZBijdQbBEVAkrNdZep+9Nifd0udElIWsv41MfOp
z34AlJM20xVWIwu3X7qrn05mqgrcQNJCT6H8PzrIxgJQJd2JClz3956Fu5qprJDe0VVwoL+vtHEt
Pwo3gPoOlxVDhKbSNfAD65Kfl2LFqoJCUCsOYu/RyXYnRCAmZxXda9s2H7NVxJoqksY302V872LU
SWVijc7aNMNJWUHBeF90453pwn8gTuQxLz9PgQa2GUUX+HJi4WVPn7MMzdlzaba2v2CcLdfXXiDi
HdQV1DC+whtTx9f7KiPpOQoi37a5nJ7dTYNHqfbwrAvyytPZmTlUgCNJ48WkhqKK07WSZZQtI8Qt
mrULL7qKzQgCQQClECB5U8mmCB6Uwg8IHAYwScuqqDh0mdfgL2VzrSs4nbcc+57JwG1px6JJvKgg
eua9fAibCl5fz85dA8eRRvzNh36lAh8rAtjf4gJo//m/o+nZ479crH0nkE4dLTTFl7+ceon00k6E
n2+XxdC5z3sFleMA/AfWxZ2PbOlyoeBUXArsNycFTcFlO6J/wDLDh1zOV8U1At7JjyJZHZ718V+p
xCPTNTeSDYY6orh8WTa3qIJTPOIifchjcBQciZEZY30dGXlcEYz3RY3ZfuV83qCi4pob+Tthf+nN
yLYp7rqKCqjwlYOLL62q4spIV5Xvi4oKqPDeDJegQwzNWNr1ccrn7Qbo5s+/xx55FXlhBbbihshE
7jaCuCV7yomY/ZXneTxNHuyp6+bKKyowrU/ZtaNMK2ReKvYNkkOGaVVVAFvHopHJPBtO/Rx6RrR6
Fj3eYzBg+SymiurxOM4VZEnoFN/trS9HadCfFV90/Of/9M9gvvvz72l3yHXw5//yHhw5G10VTG5F
ZU2pycklLMGCKFjX9HZ5A11VUVD+ZB0dcBVYYvIEc3pvzs7NUHKLmBpbXBg0Qjo5n56m7uLrdsnD
UG+SXALIdYsv/PkoBqmqwM9+dhb35v1GulqrKgABext6fL5VAHNbTnB2izMnwU6oShSX8vv7ZCq9
Ox32RqaKGrDdgCzDUL8cT53KuP41NVGqDN9GnP5oevmZpO3PKnmerE/WX+7M/XlvYt94WzQnfrj/
p5T64be6h+l66VnZT7JvPpe2oxfR2cnnX4EdbPthZJ7d5GrKSiysezY23bVJr2p23kU8IKabFb15
e6S+pjg6UtbguAoevzmB0ve9R1GGzLaYBjAv6+/LOdcrBByYViztuPJsz/cr3etr8kgLedmXe+ZO
aedfY/oYWfJPafq+WCT0gDXJkD0FXuZ7APz3pjOTF1bgWb0PQJDJ0a+CjAhgN8s1H6ehfXiGVPTY
jRJTdDdLy6rYsB3nX5oCs9qidCY7KII2tKjdoyJ07z/K70yFBz8OnLMhKEXJjKhIluLbyMVOFSEB
Rto6uxT/M35/kwl1b6kVvLkLyBW8aS6ugykre9CPJ0JYWX51MPEVX3VgLmXTwFTq4qteJoGV7PLm
DAe7+NJ7GNeln6stpayERQ/IPpg5sbYCxbgE8D9numtO2irO9dCUy7H0lRSXM203pn90RASzfFEp
0+YENiKnyypcRnL0j85aThSmo/kK7xhfMcmfaRVV2KvpUk4RVnQFr+4aX5G2+pM45qaS9edHrgok
ecU14xqaL2e5pBwtudDPQ85e6ejCYW6ZS8xGtk1h8hlHmH3544b51jadPOC9WlVwX9+aM+dY0mQq
FOzZdEjXZ+ukolBhiW7J5Qm3MG/mqios0qfd/fSEOFT02N8504g4SJKHClP3AViwvz67iMBCLc/+
dtYFcuFH8dPJPHxcpc7o7uwbP66LTw+8jD0ztEmf/e0s+6tz6qFibHjxh46XwJrc5JS9EezMKq4M
5/GRTtOuGUbZdoXO7psTv38hYUVexXv2JLUxc+dA2npI7etf6XDNcxcZBoBbBeULriszMXlBgeP+
3//2P8K5+Iq5YdTc2UEf2MjCzN6aZA/BlTcgeM0k8ePacusA5SoNRaNItpgQK3NuoPdVoRhTgoJ5
pu7h3zqO6SfES87ZR6CBppTuNxiUmc4bL3pZd/z5o48Ab805YaQjJzcMXYDPFby8SzN2AkdqzGJI
RZmBLQp8xWuzxLjrB2ioGHcfH76ap2coePewJ1gnVlZgg4bmMrJzbs1eNC9eXD8vsfSV5TDLpbYF
5ag4Wm+kAT38CE+/fvitrpJk7vsglodVKbCxtAcxUXzPiceYontKtof6oSAqBBMdO66cdlXhgInd
kieWbKQKdgCBCaSpnPyotLSKALltJnRKnroxVbgz7Zx2qABAdXwmkuTy/Cqch2zd04hfMVi96IUA
YW2eB1dFIydVhEdoZGMZGqACotOnzVyqTjLpo7gYBuhx7v1Bcl983RFjodCMPG5LBSZcEKKEAu4i
eX2VZ/uqXunyXUMWGPmiciV5IVUVjcp7xuFLJ4rCFENyNWXadCboNNZS4ervnzKMH+RMSlWJ5YNV
yXk0H9Pt3/r3NPFJ+1dBjipixb182uilH54yhtXjTtL4zVW5vaDuHLgsGWOGN5/2eOytwlGqQQVq
tiXAl6F9ducElnPSyNOBncnzx733T+Nnn6Dgwm75npmDbFdVFGDbFEnJLmYiSI+ECkTm2JS9onTi
Z9HrIx1+16XBF8BPLB9jFWjPvXbiwnx/LmTB7q6XpvcVXR7OHTEdUNwCZ/96DvnMw/TfDl+tmOT7
YsByykf+i0rKaZt2Ubf/F4TTnOpJV8G7RwXmi+/OT+STGvB+QRVviKEpWrNJX/2L4eTPe+/7Fvp/
wvceWMLkyYVTFUm4FkWbHJmsClqlVmDuZIifChivCN+lpJaKfFnbd/18i5iKNHH3gVhCxjmJkUpF
b65zAp8HW/T35ZrFVIAzz013LlKjp9w2XUGCrRcD2JAyEOS+istkTLaVTL+kGpVnuRNeG1DsAVpJ
tkXh1FSaCsLX62kQy4u+aFRfBpR9CmJyPdJmqypOyB38lTumq0gvDhaH7AN8z9v9edfAKc6Tf8JL
YT80BjYoc+FLL0dFT0oLhvx8ulBBgDMW5tY/GUCpQJK0fRF1/uvlFGSsZ/3bKUOmIhpMASuCiAsX
WRjiU89Rwefd9v3MJ5OiFBWk3ufOzMmOcFohejGT/7IJOoezWNDmZQOTUh5Z5yE4hk89O3voleb5
6S6ElDs5gmepwNE+rZ8iiMTLFjfjV8ItgY57lF6KiouBBKRUsT4ma4rfnCvpT+GnftLQ9DOMHjok
Adzse9KHgJQrU4rv2fWX1eCSMto9oXW2UnpvquivatsBOARy908fR36Agp1fTTdnbdM9QU6sgrH5
ysk1wqpgT7gzPbDvsjuhK8gBX9FwLK+q4swKAX+eUiWXhwdBnpy9yx9Xu2sneiC3dfJygSpMwQPM
JcU08RFO0CqoKRK7+fZgBUrNJRVSvD0NHlPRI7HPd/WnLkWZ/3L2PiQpG9KOvM80ixNLWQwARDv2
bMlPgcGt+Eu59ef4ppKmMiZTxbqAy7Jl0nSmGJJdNH67jRkYkNusAs38jdfr7DPv53EEUijbabpx
FbXCIyezqgJy0RbYQFG1yQ7t4b7rJBl1Hco4Bv8Cw9DqKkZ4fDoc6MjcSM8Pzj7EQJ3wF0+6cQxL
1hiWrNWbZMEgUXyZSOcnBj4naBiLBj6Hn0bY5ud53g//dVdkoV/LSfcGzrpTPIL/fJ/yFNPlX/sp
945eCprJXmW2gee6EntTnxqZZIFUIJRv4jAH166qKKHf/vl/6FVPpoeGBx7T7MvveSOn9PyvqW2c
oiTNXstfA3A69dmV81Ke4EL9xT7lC2J4spMPLuHXv/8/AAAA//8=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effectLst>
      <a:softEdge rad="2159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6.xml"/><Relationship Id="rId3" Type="http://schemas.openxmlformats.org/officeDocument/2006/relationships/image" Target="../media/image2.svg"/><Relationship Id="rId7" Type="http://schemas.openxmlformats.org/officeDocument/2006/relationships/hyperlink" Target="mailto:vda05520cumar@gmail.com?subject=Questions%20from%20Sales%20Dashboard" TargetMode="External"/><Relationship Id="rId12" Type="http://schemas.openxmlformats.org/officeDocument/2006/relationships/chart" Target="../charts/chart15.xml"/><Relationship Id="rId2" Type="http://schemas.openxmlformats.org/officeDocument/2006/relationships/image" Target="../media/image1.png"/><Relationship Id="rId16" Type="http://schemas.openxmlformats.org/officeDocument/2006/relationships/image" Target="../media/image7.png"/><Relationship Id="rId1" Type="http://schemas.openxmlformats.org/officeDocument/2006/relationships/hyperlink" Target="TASK%2019A%20UMAR%20MUSTAPHA.xlsx" TargetMode="External"/><Relationship Id="rId6" Type="http://schemas.openxmlformats.org/officeDocument/2006/relationships/image" Target="../media/image4.svg"/><Relationship Id="rId11" Type="http://schemas.openxmlformats.org/officeDocument/2006/relationships/chart" Target="../charts/chart14.xml"/><Relationship Id="rId5" Type="http://schemas.openxmlformats.org/officeDocument/2006/relationships/image" Target="../media/image3.png"/><Relationship Id="rId15" Type="http://schemas.openxmlformats.org/officeDocument/2006/relationships/chart" Target="../charts/chart18.xml"/><Relationship Id="rId10" Type="http://schemas.microsoft.com/office/2014/relationships/chartEx" Target="../charts/chartEx2.xml"/><Relationship Id="rId4" Type="http://schemas.openxmlformats.org/officeDocument/2006/relationships/hyperlink" Target="mailto:umustapha874@gmail.com" TargetMode="External"/><Relationship Id="rId9" Type="http://schemas.openxmlformats.org/officeDocument/2006/relationships/image" Target="../media/image6.svg"/><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107950</xdr:rowOff>
    </xdr:from>
    <xdr:to>
      <xdr:col>7</xdr:col>
      <xdr:colOff>444500</xdr:colOff>
      <xdr:row>20</xdr:row>
      <xdr:rowOff>44450</xdr:rowOff>
    </xdr:to>
    <xdr:sp macro="" textlink="">
      <xdr:nvSpPr>
        <xdr:cNvPr id="2" name="Rectangle: Rounded Corners 1">
          <a:extLst>
            <a:ext uri="{FF2B5EF4-FFF2-40B4-BE49-F238E27FC236}">
              <a16:creationId xmlns:a16="http://schemas.microsoft.com/office/drawing/2014/main" id="{CAA861DB-9EC7-4B08-85A3-5CF4566DE937}"/>
            </a:ext>
          </a:extLst>
        </xdr:cNvPr>
        <xdr:cNvSpPr/>
      </xdr:nvSpPr>
      <xdr:spPr>
        <a:xfrm>
          <a:off x="107950" y="107950"/>
          <a:ext cx="4603750" cy="3619500"/>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                                   </a:t>
          </a:r>
          <a:r>
            <a:rPr lang="en-US" sz="1100" b="1">
              <a:latin typeface="Arial" panose="020B0604020202020204" pitchFamily="34" charset="0"/>
              <a:cs typeface="Arial" panose="020B0604020202020204" pitchFamily="34" charset="0"/>
            </a:rPr>
            <a:t>PROJECT</a:t>
          </a:r>
          <a:r>
            <a:rPr lang="en-US" sz="1100" b="1" baseline="0">
              <a:latin typeface="Arial" panose="020B0604020202020204" pitchFamily="34" charset="0"/>
              <a:cs typeface="Arial" panose="020B0604020202020204" pitchFamily="34" charset="0"/>
            </a:rPr>
            <a:t> SPLIT</a:t>
          </a:r>
        </a:p>
        <a:p>
          <a:pPr algn="l"/>
          <a:r>
            <a:rPr lang="en-US" sz="1100" b="1" baseline="0">
              <a:latin typeface="Arial" panose="020B0604020202020204" pitchFamily="34" charset="0"/>
              <a:cs typeface="Arial" panose="020B0604020202020204" pitchFamily="34" charset="0"/>
            </a:rPr>
            <a:t>1. Category One - Independent Value</a:t>
          </a:r>
        </a:p>
        <a:p>
          <a:pPr algn="l"/>
          <a:r>
            <a:rPr lang="en-US" sz="900" baseline="0">
              <a:latin typeface="Arial" panose="020B0604020202020204" pitchFamily="34" charset="0"/>
              <a:cs typeface="Arial" panose="020B0604020202020204" pitchFamily="34" charset="0"/>
            </a:rPr>
            <a:t>Customer Name</a:t>
          </a:r>
        </a:p>
        <a:p>
          <a:pPr algn="l"/>
          <a:r>
            <a:rPr lang="en-US" sz="900" baseline="0">
              <a:latin typeface="Arial" panose="020B0604020202020204" pitchFamily="34" charset="0"/>
              <a:cs typeface="Arial" panose="020B0604020202020204" pitchFamily="34" charset="0"/>
            </a:rPr>
            <a:t>Salesperson</a:t>
          </a:r>
        </a:p>
        <a:p>
          <a:pPr algn="l"/>
          <a:r>
            <a:rPr lang="en-US" sz="900" baseline="0">
              <a:latin typeface="Arial" panose="020B0604020202020204" pitchFamily="34" charset="0"/>
              <a:cs typeface="Arial" panose="020B0604020202020204" pitchFamily="34" charset="0"/>
            </a:rPr>
            <a:t>Region</a:t>
          </a:r>
        </a:p>
        <a:p>
          <a:pPr algn="l"/>
          <a:r>
            <a:rPr lang="en-US" sz="900" baseline="0">
              <a:latin typeface="Arial" panose="020B0604020202020204" pitchFamily="34" charset="0"/>
              <a:cs typeface="Arial" panose="020B0604020202020204" pitchFamily="34" charset="0"/>
            </a:rPr>
            <a:t>Ship Name</a:t>
          </a:r>
        </a:p>
        <a:p>
          <a:pPr algn="l"/>
          <a:r>
            <a:rPr lang="en-US" sz="900" baseline="0">
              <a:latin typeface="Arial" panose="020B0604020202020204" pitchFamily="34" charset="0"/>
              <a:cs typeface="Arial" panose="020B0604020202020204" pitchFamily="34" charset="0"/>
            </a:rPr>
            <a:t>Ship Country</a:t>
          </a:r>
        </a:p>
        <a:p>
          <a:pPr algn="l"/>
          <a:r>
            <a:rPr lang="en-US" sz="900" baseline="0">
              <a:latin typeface="Arial" panose="020B0604020202020204" pitchFamily="34" charset="0"/>
              <a:cs typeface="Arial" panose="020B0604020202020204" pitchFamily="34" charset="0"/>
            </a:rPr>
            <a:t>Payment Type</a:t>
          </a:r>
        </a:p>
        <a:p>
          <a:pPr algn="l"/>
          <a:r>
            <a:rPr lang="en-US" sz="900" baseline="0">
              <a:latin typeface="Arial" panose="020B0604020202020204" pitchFamily="34" charset="0"/>
              <a:cs typeface="Arial" panose="020B0604020202020204" pitchFamily="34" charset="0"/>
            </a:rPr>
            <a:t>Product Name</a:t>
          </a:r>
        </a:p>
        <a:p>
          <a:pPr algn="l"/>
          <a:r>
            <a:rPr lang="en-US" sz="900" baseline="0">
              <a:latin typeface="Arial" panose="020B0604020202020204" pitchFamily="34" charset="0"/>
              <a:cs typeface="Arial" panose="020B0604020202020204" pitchFamily="34" charset="0"/>
            </a:rPr>
            <a:t>Category</a:t>
          </a:r>
        </a:p>
        <a:p>
          <a:pPr algn="l"/>
          <a:endParaRPr lang="en-US" sz="800" baseline="0">
            <a:latin typeface="Arial" panose="020B0604020202020204" pitchFamily="34" charset="0"/>
            <a:cs typeface="Arial" panose="020B0604020202020204" pitchFamily="34" charset="0"/>
          </a:endParaRPr>
        </a:p>
        <a:p>
          <a:pPr algn="l"/>
          <a:endParaRPr lang="en-US" sz="800" baseline="0">
            <a:latin typeface="Arial" panose="020B0604020202020204" pitchFamily="34" charset="0"/>
            <a:cs typeface="Arial" panose="020B0604020202020204" pitchFamily="34" charset="0"/>
          </a:endParaRPr>
        </a:p>
        <a:p>
          <a:pPr algn="l"/>
          <a:r>
            <a:rPr lang="en-US" sz="1100" b="1" baseline="0">
              <a:latin typeface="Arial" panose="020B0604020202020204" pitchFamily="34" charset="0"/>
              <a:cs typeface="Arial" panose="020B0604020202020204" pitchFamily="34" charset="0"/>
            </a:rPr>
            <a:t>2.Category Two - Dependent Value</a:t>
          </a:r>
        </a:p>
        <a:p>
          <a:pPr algn="l"/>
          <a:r>
            <a:rPr lang="en-US" sz="900" b="0" baseline="0">
              <a:latin typeface="Arial" panose="020B0604020202020204" pitchFamily="34" charset="0"/>
              <a:cs typeface="Arial" panose="020B0604020202020204" pitchFamily="34" charset="0"/>
            </a:rPr>
            <a:t>Quantity</a:t>
          </a:r>
        </a:p>
        <a:p>
          <a:pPr algn="l"/>
          <a:r>
            <a:rPr lang="en-US" sz="900" b="0" baseline="0">
              <a:latin typeface="Arial" panose="020B0604020202020204" pitchFamily="34" charset="0"/>
              <a:cs typeface="Arial" panose="020B0604020202020204" pitchFamily="34" charset="0"/>
            </a:rPr>
            <a:t>Revenue</a:t>
          </a:r>
        </a:p>
        <a:p>
          <a:pPr algn="l"/>
          <a:r>
            <a:rPr lang="en-US" sz="900" b="0" baseline="0">
              <a:latin typeface="Arial" panose="020B0604020202020204" pitchFamily="34" charset="0"/>
              <a:cs typeface="Arial" panose="020B0604020202020204" pitchFamily="34" charset="0"/>
            </a:rPr>
            <a:t>Unit Price</a:t>
          </a:r>
        </a:p>
        <a:p>
          <a:pPr algn="l"/>
          <a:r>
            <a:rPr lang="en-US" sz="900" b="0" baseline="0">
              <a:latin typeface="Arial" panose="020B0604020202020204" pitchFamily="34" charset="0"/>
              <a:cs typeface="Arial" panose="020B0604020202020204" pitchFamily="34" charset="0"/>
            </a:rPr>
            <a:t>Shipping Fee</a:t>
          </a:r>
        </a:p>
        <a:p>
          <a:pPr algn="l"/>
          <a:endParaRPr lang="en-US" sz="800" b="1" baseline="0"/>
        </a:p>
        <a:p>
          <a:pPr algn="l"/>
          <a:endParaRPr lang="en-US" sz="1100" b="1" baseline="0"/>
        </a:p>
        <a:p>
          <a:pPr algn="l"/>
          <a:endParaRPr lang="en-US" sz="1100" baseline="0"/>
        </a:p>
        <a:p>
          <a:pPr algn="l"/>
          <a:endParaRPr lang="en-US" sz="1100"/>
        </a:p>
      </xdr:txBody>
    </xdr:sp>
    <xdr:clientData/>
  </xdr:twoCellAnchor>
  <xdr:twoCellAnchor>
    <xdr:from>
      <xdr:col>8</xdr:col>
      <xdr:colOff>189230</xdr:colOff>
      <xdr:row>0</xdr:row>
      <xdr:rowOff>171450</xdr:rowOff>
    </xdr:from>
    <xdr:to>
      <xdr:col>16</xdr:col>
      <xdr:colOff>176530</xdr:colOff>
      <xdr:row>20</xdr:row>
      <xdr:rowOff>57150</xdr:rowOff>
    </xdr:to>
    <xdr:sp macro="" textlink="">
      <xdr:nvSpPr>
        <xdr:cNvPr id="4" name="Rectangle: Rounded Corners 3">
          <a:extLst>
            <a:ext uri="{FF2B5EF4-FFF2-40B4-BE49-F238E27FC236}">
              <a16:creationId xmlns:a16="http://schemas.microsoft.com/office/drawing/2014/main" id="{725E3D67-F637-49B4-8200-BD8EB89B00CD}"/>
            </a:ext>
          </a:extLst>
        </xdr:cNvPr>
        <xdr:cNvSpPr/>
      </xdr:nvSpPr>
      <xdr:spPr>
        <a:xfrm>
          <a:off x="5066030" y="171450"/>
          <a:ext cx="4864100" cy="3543300"/>
        </a:xfrm>
        <a:prstGeom prst="roundRect">
          <a:avLst/>
        </a:prstGeom>
        <a:solidFill>
          <a:schemeClr val="bg1"/>
        </a:solidFill>
        <a:ln w="6350">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5">
                  <a:lumMod val="50000"/>
                </a:schemeClr>
              </a:solidFill>
              <a:latin typeface="Arial" panose="020B0604020202020204" pitchFamily="34" charset="0"/>
              <a:cs typeface="Arial" panose="020B0604020202020204" pitchFamily="34" charset="0"/>
            </a:rPr>
            <a:t>                                   </a:t>
          </a:r>
          <a:r>
            <a:rPr lang="en-US" sz="1100" b="1">
              <a:solidFill>
                <a:schemeClr val="accent5">
                  <a:lumMod val="50000"/>
                </a:schemeClr>
              </a:solidFill>
              <a:latin typeface="Arial" panose="020B0604020202020204" pitchFamily="34" charset="0"/>
              <a:cs typeface="Arial" panose="020B0604020202020204" pitchFamily="34" charset="0"/>
            </a:rPr>
            <a:t>POTENTIAL</a:t>
          </a:r>
          <a:r>
            <a:rPr lang="en-US" sz="1100" b="1" baseline="0">
              <a:solidFill>
                <a:schemeClr val="accent5">
                  <a:lumMod val="50000"/>
                </a:schemeClr>
              </a:solidFill>
              <a:latin typeface="Arial" panose="020B0604020202020204" pitchFamily="34" charset="0"/>
              <a:cs typeface="Arial" panose="020B0604020202020204" pitchFamily="34" charset="0"/>
            </a:rPr>
            <a:t> ANALYSIS/QUESTIONS</a:t>
          </a:r>
        </a:p>
        <a:p>
          <a:r>
            <a:rPr lang="en-US" sz="900">
              <a:solidFill>
                <a:schemeClr val="accent5">
                  <a:lumMod val="50000"/>
                </a:schemeClr>
              </a:solidFill>
              <a:latin typeface="Arial" panose="020B0604020202020204" pitchFamily="34" charset="0"/>
              <a:cs typeface="Arial" panose="020B0604020202020204" pitchFamily="34" charset="0"/>
            </a:rPr>
            <a:t>1. Total income earned in 2014 along with its trend across each quarter</a:t>
          </a:r>
        </a:p>
        <a:p>
          <a:r>
            <a:rPr lang="en-US" sz="900">
              <a:solidFill>
                <a:schemeClr val="accent5">
                  <a:lumMod val="50000"/>
                </a:schemeClr>
              </a:solidFill>
              <a:latin typeface="Arial" panose="020B0604020202020204" pitchFamily="34" charset="0"/>
              <a:cs typeface="Arial" panose="020B0604020202020204" pitchFamily="34" charset="0"/>
            </a:rPr>
            <a:t>2. Revenue performance evaluation for each salesperson</a:t>
          </a:r>
        </a:p>
        <a:p>
          <a:r>
            <a:rPr lang="en-US" sz="900">
              <a:solidFill>
                <a:schemeClr val="accent5">
                  <a:lumMod val="50000"/>
                </a:schemeClr>
              </a:solidFill>
              <a:latin typeface="Arial" panose="020B0604020202020204" pitchFamily="34" charset="0"/>
              <a:cs typeface="Arial" panose="020B0604020202020204" pitchFamily="34" charset="0"/>
            </a:rPr>
            <a:t>3. Highest earning product category based on revenue</a:t>
          </a:r>
        </a:p>
        <a:p>
          <a:r>
            <a:rPr lang="en-US" sz="900">
              <a:solidFill>
                <a:schemeClr val="accent5">
                  <a:lumMod val="50000"/>
                </a:schemeClr>
              </a:solidFill>
              <a:latin typeface="Arial" panose="020B0604020202020204" pitchFamily="34" charset="0"/>
              <a:cs typeface="Arial" panose="020B0604020202020204" pitchFamily="34" charset="0"/>
            </a:rPr>
            <a:t>4. Revenue contribution analysis by geographical region</a:t>
          </a:r>
        </a:p>
        <a:p>
          <a:r>
            <a:rPr lang="en-US" sz="900">
              <a:solidFill>
                <a:schemeClr val="accent5">
                  <a:lumMod val="50000"/>
                </a:schemeClr>
              </a:solidFill>
              <a:latin typeface="Arial" panose="020B0604020202020204" pitchFamily="34" charset="0"/>
              <a:cs typeface="Arial" panose="020B0604020202020204" pitchFamily="34" charset="0"/>
            </a:rPr>
            <a:t>5. Average number of items bought per sale transaction</a:t>
          </a:r>
        </a:p>
        <a:p>
          <a:r>
            <a:rPr lang="en-US" sz="900">
              <a:solidFill>
                <a:schemeClr val="accent5">
                  <a:lumMod val="50000"/>
                </a:schemeClr>
              </a:solidFill>
              <a:latin typeface="Arial" panose="020B0604020202020204" pitchFamily="34" charset="0"/>
              <a:cs typeface="Arial" panose="020B0604020202020204" pitchFamily="34" charset="0"/>
            </a:rPr>
            <a:t>6. Most commonly selected payment method and its average revenue per transaction</a:t>
          </a:r>
        </a:p>
        <a:p>
          <a:r>
            <a:rPr lang="en-US" sz="900">
              <a:solidFill>
                <a:schemeClr val="accent5">
                  <a:lumMod val="50000"/>
                </a:schemeClr>
              </a:solidFill>
              <a:latin typeface="Arial" panose="020B0604020202020204" pitchFamily="34" charset="0"/>
              <a:cs typeface="Arial" panose="020B0604020202020204" pitchFamily="34" charset="0"/>
            </a:rPr>
            <a:t>7. Overall shipping cost and how it differs across destination countries</a:t>
          </a:r>
        </a:p>
        <a:p>
          <a:r>
            <a:rPr lang="en-US" sz="900">
              <a:solidFill>
                <a:schemeClr val="accent5">
                  <a:lumMod val="50000"/>
                </a:schemeClr>
              </a:solidFill>
              <a:latin typeface="Arial" panose="020B0604020202020204" pitchFamily="34" charset="0"/>
              <a:cs typeface="Arial" panose="020B0604020202020204" pitchFamily="34" charset="0"/>
            </a:rPr>
            <a:t>8. Recognition of the top 10 customers by total sales revenue</a:t>
          </a:r>
        </a:p>
        <a:p>
          <a:r>
            <a:rPr lang="en-US" sz="900">
              <a:solidFill>
                <a:schemeClr val="accent5">
                  <a:lumMod val="50000"/>
                </a:schemeClr>
              </a:solidFill>
              <a:latin typeface="Arial" panose="020B0604020202020204" pitchFamily="34" charset="0"/>
              <a:cs typeface="Arial" panose="020B0604020202020204" pitchFamily="34" charset="0"/>
            </a:rPr>
            <a:t>9. Comparison of product category revenues across different regions</a:t>
          </a:r>
        </a:p>
        <a:p>
          <a:r>
            <a:rPr lang="en-US" sz="900">
              <a:solidFill>
                <a:schemeClr val="accent5">
                  <a:lumMod val="50000"/>
                </a:schemeClr>
              </a:solidFill>
              <a:latin typeface="Arial" panose="020B0604020202020204" pitchFamily="34" charset="0"/>
              <a:cs typeface="Arial" panose="020B0604020202020204" pitchFamily="34" charset="0"/>
            </a:rPr>
            <a:t>10. Mean selling price per item and how it varies among product categories</a:t>
          </a:r>
        </a:p>
        <a:p>
          <a:r>
            <a:rPr lang="en-US" sz="900">
              <a:solidFill>
                <a:schemeClr val="accent5">
                  <a:lumMod val="50000"/>
                </a:schemeClr>
              </a:solidFill>
              <a:latin typeface="Arial" panose="020B0604020202020204" pitchFamily="34" charset="0"/>
              <a:cs typeface="Arial" panose="020B0604020202020204" pitchFamily="34" charset="0"/>
            </a:rPr>
            <a:t>11.</a:t>
          </a:r>
          <a:r>
            <a:rPr lang="en-US" sz="900" baseline="0">
              <a:solidFill>
                <a:schemeClr val="accent5">
                  <a:lumMod val="50000"/>
                </a:schemeClr>
              </a:solidFill>
              <a:latin typeface="Arial" panose="020B0604020202020204" pitchFamily="34" charset="0"/>
              <a:cs typeface="Arial" panose="020B0604020202020204" pitchFamily="34" charset="0"/>
            </a:rPr>
            <a:t> </a:t>
          </a:r>
          <a:r>
            <a:rPr lang="en-US" sz="900">
              <a:solidFill>
                <a:schemeClr val="accent5">
                  <a:lumMod val="50000"/>
                </a:schemeClr>
              </a:solidFill>
              <a:latin typeface="Arial" panose="020B0604020202020204" pitchFamily="34" charset="0"/>
              <a:cs typeface="Arial" panose="020B0604020202020204" pitchFamily="34" charset="0"/>
            </a:rPr>
            <a:t>Monthly revenue progression throughout 2014</a:t>
          </a:r>
        </a:p>
        <a:p>
          <a:r>
            <a:rPr lang="en-US" sz="900">
              <a:solidFill>
                <a:schemeClr val="accent5">
                  <a:lumMod val="50000"/>
                </a:schemeClr>
              </a:solidFill>
              <a:latin typeface="Arial" panose="020B0604020202020204" pitchFamily="34" charset="0"/>
              <a:cs typeface="Arial" panose="020B0604020202020204" pitchFamily="34" charset="0"/>
            </a:rPr>
            <a:t>12. Leading cities based on total shipping-related revenue</a:t>
          </a:r>
        </a:p>
        <a:p>
          <a:r>
            <a:rPr lang="en-US" sz="900">
              <a:solidFill>
                <a:schemeClr val="accent5">
                  <a:lumMod val="50000"/>
                </a:schemeClr>
              </a:solidFill>
              <a:latin typeface="Arial" panose="020B0604020202020204" pitchFamily="34" charset="0"/>
              <a:cs typeface="Arial" panose="020B0604020202020204" pitchFamily="34" charset="0"/>
            </a:rPr>
            <a:t>13. Quantity sold of the top 5 products across various payment methods</a:t>
          </a:r>
        </a:p>
        <a:p>
          <a:r>
            <a:rPr lang="en-US" sz="900">
              <a:solidFill>
                <a:schemeClr val="accent5">
                  <a:lumMod val="50000"/>
                </a:schemeClr>
              </a:solidFill>
              <a:latin typeface="Arial" panose="020B0604020202020204" pitchFamily="34" charset="0"/>
              <a:cs typeface="Arial" panose="020B0604020202020204" pitchFamily="34" charset="0"/>
            </a:rPr>
            <a:t>14. Mean shipping cost per sale and how it differs by shipping company</a:t>
          </a:r>
        </a:p>
        <a:p>
          <a:r>
            <a:rPr lang="en-US" sz="900">
              <a:solidFill>
                <a:schemeClr val="accent5">
                  <a:lumMod val="50000"/>
                </a:schemeClr>
              </a:solidFill>
              <a:latin typeface="Arial" panose="020B0604020202020204" pitchFamily="34" charset="0"/>
              <a:cs typeface="Arial" panose="020B0604020202020204" pitchFamily="34" charset="0"/>
            </a:rPr>
            <a:t>15. Revenue distribution categorized by region and salesperson</a:t>
          </a:r>
        </a:p>
        <a:p>
          <a:r>
            <a:rPr lang="en-US" sz="900">
              <a:solidFill>
                <a:schemeClr val="accent5">
                  <a:lumMod val="50000"/>
                </a:schemeClr>
              </a:solidFill>
              <a:latin typeface="Arial" panose="020B0604020202020204" pitchFamily="34" charset="0"/>
              <a:cs typeface="Arial" panose="020B0604020202020204" pitchFamily="34" charset="0"/>
            </a:rPr>
            <a:t>16. Count of unique buyers and their corresponding average spending</a:t>
          </a:r>
        </a:p>
        <a:p>
          <a:r>
            <a:rPr lang="en-US" sz="900">
              <a:solidFill>
                <a:schemeClr val="accent5">
                  <a:lumMod val="50000"/>
                </a:schemeClr>
              </a:solidFill>
              <a:latin typeface="Arial" panose="020B0604020202020204" pitchFamily="34" charset="0"/>
              <a:cs typeface="Arial" panose="020B0604020202020204" pitchFamily="34" charset="0"/>
            </a:rPr>
            <a:t>17. Mean unit price for items in the lowest revenue-generating product categories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chemeClr val="accent5">
                  <a:lumMod val="50000"/>
                </a:schemeClr>
              </a:solidFill>
              <a:latin typeface="Arial" panose="020B0604020202020204" pitchFamily="34" charset="0"/>
              <a:cs typeface="Arial" panose="020B0604020202020204" pitchFamily="34" charset="0"/>
            </a:rPr>
            <a:t>18. </a:t>
          </a:r>
          <a:r>
            <a:rPr kumimoji="0" lang="en-US" sz="900" b="0" i="0" u="none" strike="noStrike" kern="0" cap="none" spc="0" normalizeH="0" baseline="0" noProof="0">
              <a:ln>
                <a:noFill/>
              </a:ln>
              <a:solidFill>
                <a:schemeClr val="accent5">
                  <a:lumMod val="50000"/>
                </a:schemeClr>
              </a:solidFill>
              <a:effectLst/>
              <a:uLnTx/>
              <a:uFillTx/>
              <a:latin typeface="Arial" panose="020B0604020202020204" pitchFamily="34" charset="0"/>
              <a:ea typeface="+mn-ea"/>
              <a:cs typeface="Arial" panose="020B0604020202020204" pitchFamily="34" charset="0"/>
            </a:rPr>
            <a:t>Identification of underachieving salespeople using regional benchmarks or average sales figures</a:t>
          </a:r>
        </a:p>
        <a:p>
          <a:endParaRPr lang="en-US" sz="900">
            <a:solidFill>
              <a:schemeClr val="accent5">
                <a:lumMod val="50000"/>
              </a:schemeClr>
            </a:solidFill>
            <a:latin typeface="Arial" panose="020B0604020202020204" pitchFamily="34" charset="0"/>
            <a:cs typeface="Arial" panose="020B0604020202020204" pitchFamily="34" charset="0"/>
          </a:endParaRPr>
        </a:p>
        <a:p>
          <a:pPr algn="l"/>
          <a:endParaRPr lang="en-US" sz="800" b="0">
            <a:solidFill>
              <a:schemeClr val="accent5">
                <a:lumMod val="50000"/>
              </a:schemeClr>
            </a:solidFill>
          </a:endParaRPr>
        </a:p>
        <a:p>
          <a:pPr algn="ctr"/>
          <a:r>
            <a:rPr lang="en-US" sz="1100" b="1">
              <a:solidFill>
                <a:schemeClr val="accent5">
                  <a:lumMod val="50000"/>
                </a:schemeClr>
              </a:solidFill>
              <a:latin typeface="Arial" panose="020B0604020202020204" pitchFamily="34" charset="0"/>
              <a:cs typeface="Arial" panose="020B0604020202020204" pitchFamily="34" charset="0"/>
            </a:rPr>
            <a:t>POTENTIAL COLUMNS TO BE APPENDED</a:t>
          </a:r>
        </a:p>
        <a:p>
          <a:pPr algn="l"/>
          <a:r>
            <a:rPr lang="en-US" sz="900" b="0">
              <a:solidFill>
                <a:schemeClr val="accent5">
                  <a:lumMod val="50000"/>
                </a:schemeClr>
              </a:solidFill>
              <a:latin typeface="Arial" panose="020B0604020202020204" pitchFamily="34" charset="0"/>
              <a:cs typeface="Arial" panose="020B0604020202020204" pitchFamily="34" charset="0"/>
            </a:rPr>
            <a:t>1. Profit</a:t>
          </a:r>
        </a:p>
        <a:p>
          <a:pPr algn="l"/>
          <a:endParaRPr lang="en-US" sz="800" b="1" baseline="0">
            <a:solidFill>
              <a:schemeClr val="tx1"/>
            </a:solidFill>
          </a:endParaRPr>
        </a:p>
        <a:p>
          <a:pPr algn="l"/>
          <a:endParaRPr lang="en-US" sz="800" b="1" baseline="0">
            <a:solidFill>
              <a:schemeClr val="tx1"/>
            </a:solidFill>
          </a:endParaRPr>
        </a:p>
        <a:p>
          <a:pPr algn="l"/>
          <a:endParaRPr lang="en-US" sz="1100" b="1" baseline="0">
            <a:solidFill>
              <a:schemeClr val="tx1"/>
            </a:solidFill>
          </a:endParaRPr>
        </a:p>
        <a:p>
          <a:pPr algn="l"/>
          <a:endParaRPr lang="en-US" sz="1100" baseline="0">
            <a:solidFill>
              <a:schemeClr val="tx1"/>
            </a:solidFill>
          </a:endParaRPr>
        </a:p>
        <a:p>
          <a:pPr algn="l"/>
          <a:endParaRPr lang="en-US" sz="1100">
            <a:solidFill>
              <a:schemeClr val="tx1"/>
            </a:solidFill>
          </a:endParaRPr>
        </a:p>
      </xdr:txBody>
    </xdr:sp>
    <xdr:clientData/>
  </xdr:twoCellAnchor>
  <xdr:twoCellAnchor>
    <xdr:from>
      <xdr:col>0</xdr:col>
      <xdr:colOff>114300</xdr:colOff>
      <xdr:row>21</xdr:row>
      <xdr:rowOff>114300</xdr:rowOff>
    </xdr:from>
    <xdr:to>
      <xdr:col>7</xdr:col>
      <xdr:colOff>450850</xdr:colOff>
      <xdr:row>53</xdr:row>
      <xdr:rowOff>0</xdr:rowOff>
    </xdr:to>
    <xdr:sp macro="" textlink="">
      <xdr:nvSpPr>
        <xdr:cNvPr id="5" name="Rectangle: Rounded Corners 4">
          <a:extLst>
            <a:ext uri="{FF2B5EF4-FFF2-40B4-BE49-F238E27FC236}">
              <a16:creationId xmlns:a16="http://schemas.microsoft.com/office/drawing/2014/main" id="{116653AD-1697-4B31-A742-AE38F00D7AA6}"/>
            </a:ext>
          </a:extLst>
        </xdr:cNvPr>
        <xdr:cNvSpPr/>
      </xdr:nvSpPr>
      <xdr:spPr>
        <a:xfrm>
          <a:off x="114300" y="4114800"/>
          <a:ext cx="4603750" cy="5981700"/>
        </a:xfrm>
        <a:prstGeom prst="roundRect">
          <a:avLst/>
        </a:prstGeom>
        <a:solidFill>
          <a:schemeClr val="bg1"/>
        </a:solidFill>
        <a:ln w="6350">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Arial" panose="020B0604020202020204" pitchFamily="34" charset="0"/>
              <a:cs typeface="Arial" panose="020B0604020202020204" pitchFamily="34" charset="0"/>
            </a:rPr>
            <a:t>                                   </a:t>
          </a:r>
          <a:r>
            <a:rPr lang="en-US" b="1">
              <a:solidFill>
                <a:schemeClr val="accent5">
                  <a:lumMod val="50000"/>
                </a:schemeClr>
              </a:solidFill>
              <a:latin typeface="Arial" panose="020B0604020202020204" pitchFamily="34" charset="0"/>
              <a:cs typeface="Arial" panose="020B0604020202020204" pitchFamily="34" charset="0"/>
            </a:rPr>
            <a:t>INDUSTRY TYPE</a:t>
          </a:r>
        </a:p>
        <a:p>
          <a:pPr algn="l"/>
          <a:r>
            <a:rPr lang="en-US" sz="900">
              <a:solidFill>
                <a:schemeClr val="accent5">
                  <a:lumMod val="50000"/>
                </a:schemeClr>
              </a:solidFill>
              <a:latin typeface="Arial" panose="020B0604020202020204" pitchFamily="34" charset="0"/>
              <a:cs typeface="Arial" panose="020B0604020202020204" pitchFamily="34" charset="0"/>
            </a:rPr>
            <a:t>Large-Scale Consumer Grocery Business.</a:t>
          </a:r>
          <a:endParaRPr lang="en-US" sz="900" b="1" baseline="0">
            <a:solidFill>
              <a:schemeClr val="accent5">
                <a:lumMod val="50000"/>
              </a:schemeClr>
            </a:solidFill>
            <a:latin typeface="Arial" panose="020B0604020202020204" pitchFamily="34" charset="0"/>
            <a:cs typeface="Arial" panose="020B0604020202020204" pitchFamily="34" charset="0"/>
          </a:endParaRPr>
        </a:p>
        <a:p>
          <a:pPr algn="l"/>
          <a:endParaRPr lang="en-US" sz="1000" b="1" baseline="0">
            <a:solidFill>
              <a:schemeClr val="accent5">
                <a:lumMod val="50000"/>
              </a:schemeClr>
            </a:solidFill>
            <a:latin typeface="Arial" panose="020B0604020202020204" pitchFamily="34" charset="0"/>
            <a:cs typeface="Arial" panose="020B0604020202020204" pitchFamily="34" charset="0"/>
          </a:endParaRPr>
        </a:p>
        <a:p>
          <a:pPr algn="l"/>
          <a:r>
            <a:rPr lang="en-US" sz="1000">
              <a:solidFill>
                <a:schemeClr val="accent5">
                  <a:lumMod val="50000"/>
                </a:schemeClr>
              </a:solidFill>
              <a:latin typeface="Arial" panose="020B0604020202020204" pitchFamily="34" charset="0"/>
              <a:cs typeface="Arial" panose="020B0604020202020204" pitchFamily="34" charset="0"/>
            </a:rPr>
            <a:t>                                     </a:t>
          </a:r>
        </a:p>
        <a:p>
          <a:pPr algn="l"/>
          <a:r>
            <a:rPr lang="en-US" sz="1000" b="1" baseline="0">
              <a:solidFill>
                <a:schemeClr val="accent5">
                  <a:lumMod val="50000"/>
                </a:schemeClr>
              </a:solidFill>
              <a:latin typeface="Arial" panose="020B0604020202020204" pitchFamily="34" charset="0"/>
              <a:cs typeface="Arial" panose="020B0604020202020204" pitchFamily="34" charset="0"/>
            </a:rPr>
            <a:t>                                 </a:t>
          </a:r>
        </a:p>
        <a:p>
          <a:pPr algn="l"/>
          <a:endParaRPr lang="en-US" sz="1000" b="1" baseline="0">
            <a:solidFill>
              <a:schemeClr val="accent5">
                <a:lumMod val="50000"/>
              </a:schemeClr>
            </a:solidFill>
            <a:latin typeface="Arial" panose="020B0604020202020204" pitchFamily="34" charset="0"/>
            <a:cs typeface="Arial" panose="020B0604020202020204" pitchFamily="34" charset="0"/>
          </a:endParaRPr>
        </a:p>
        <a:p>
          <a:pPr algn="l"/>
          <a:r>
            <a:rPr lang="en-US" sz="1000" b="1" baseline="0">
              <a:solidFill>
                <a:schemeClr val="accent5">
                  <a:lumMod val="50000"/>
                </a:schemeClr>
              </a:solidFill>
              <a:latin typeface="Arial" panose="020B0604020202020204" pitchFamily="34" charset="0"/>
              <a:cs typeface="Arial" panose="020B0604020202020204" pitchFamily="34" charset="0"/>
            </a:rPr>
            <a:t>                                        </a:t>
          </a:r>
          <a:r>
            <a:rPr lang="en-US" sz="1100" b="1">
              <a:solidFill>
                <a:schemeClr val="accent5">
                  <a:lumMod val="50000"/>
                </a:schemeClr>
              </a:solidFill>
              <a:latin typeface="Arial" panose="020B0604020202020204" pitchFamily="34" charset="0"/>
              <a:cs typeface="Arial" panose="020B0604020202020204" pitchFamily="34" charset="0"/>
            </a:rPr>
            <a:t>STORY OF DATA</a:t>
          </a:r>
        </a:p>
        <a:p>
          <a:pPr algn="l"/>
          <a:r>
            <a:rPr lang="en-US" sz="900">
              <a:solidFill>
                <a:schemeClr val="accent5">
                  <a:lumMod val="50000"/>
                </a:schemeClr>
              </a:solidFill>
              <a:latin typeface="Arial" panose="020B0604020202020204" pitchFamily="34" charset="0"/>
              <a:cs typeface="Arial" panose="020B0604020202020204" pitchFamily="34" charset="0"/>
            </a:rPr>
            <a:t>This data tells the story of a grocery store's sales in 2014. It shows what products were sold, how much money was made, and who sold them. It also includes where items were shipped and the costs involved, providing a full picture of sales performance and trends.</a:t>
          </a:r>
          <a:endParaRPr lang="en-US" sz="900" b="1" baseline="0">
            <a:solidFill>
              <a:schemeClr val="accent5">
                <a:lumMod val="50000"/>
              </a:schemeClr>
            </a:solidFill>
            <a:latin typeface="Arial" panose="020B0604020202020204" pitchFamily="34" charset="0"/>
            <a:cs typeface="Arial" panose="020B0604020202020204" pitchFamily="34" charset="0"/>
          </a:endParaRPr>
        </a:p>
        <a:p>
          <a:pPr algn="l"/>
          <a:endParaRPr lang="en-US" sz="1000" b="1" baseline="0">
            <a:solidFill>
              <a:schemeClr val="accent5">
                <a:lumMod val="50000"/>
              </a:schemeClr>
            </a:solidFill>
            <a:latin typeface="Arial" panose="020B0604020202020204" pitchFamily="34" charset="0"/>
            <a:cs typeface="Arial" panose="020B0604020202020204" pitchFamily="34" charset="0"/>
          </a:endParaRPr>
        </a:p>
        <a:p>
          <a:pPr algn="l"/>
          <a:endParaRPr lang="en-US" sz="1000" b="1" baseline="0">
            <a:solidFill>
              <a:schemeClr val="accent5">
                <a:lumMod val="50000"/>
              </a:schemeClr>
            </a:solidFill>
            <a:latin typeface="Arial" panose="020B0604020202020204" pitchFamily="34" charset="0"/>
            <a:cs typeface="Arial" panose="020B0604020202020204" pitchFamily="34" charset="0"/>
          </a:endParaRPr>
        </a:p>
        <a:p>
          <a:pPr algn="l"/>
          <a:r>
            <a:rPr lang="en-US" sz="1000" b="1" baseline="0">
              <a:solidFill>
                <a:schemeClr val="accent5">
                  <a:lumMod val="50000"/>
                </a:schemeClr>
              </a:solidFill>
              <a:latin typeface="Arial" panose="020B0604020202020204" pitchFamily="34" charset="0"/>
              <a:cs typeface="Arial" panose="020B0604020202020204" pitchFamily="34" charset="0"/>
            </a:rPr>
            <a:t>                               </a:t>
          </a:r>
        </a:p>
        <a:p>
          <a:pPr algn="l"/>
          <a:endParaRPr lang="en-US" sz="1000" b="1" baseline="0">
            <a:solidFill>
              <a:schemeClr val="accent5">
                <a:lumMod val="50000"/>
              </a:schemeClr>
            </a:solidFill>
            <a:latin typeface="Arial" panose="020B0604020202020204" pitchFamily="34" charset="0"/>
            <a:cs typeface="Arial" panose="020B0604020202020204" pitchFamily="34" charset="0"/>
          </a:endParaRPr>
        </a:p>
        <a:p>
          <a:pPr algn="l"/>
          <a:endParaRPr lang="en-US" sz="1000" b="1" baseline="0">
            <a:solidFill>
              <a:schemeClr val="accent5">
                <a:lumMod val="50000"/>
              </a:schemeClr>
            </a:solidFill>
            <a:latin typeface="Arial" panose="020B0604020202020204" pitchFamily="34" charset="0"/>
            <a:cs typeface="Arial" panose="020B0604020202020204" pitchFamily="34" charset="0"/>
          </a:endParaRPr>
        </a:p>
        <a:p>
          <a:pPr algn="l"/>
          <a:r>
            <a:rPr lang="en-US" sz="1000" b="1" baseline="0">
              <a:solidFill>
                <a:schemeClr val="accent5">
                  <a:lumMod val="50000"/>
                </a:schemeClr>
              </a:solidFill>
              <a:latin typeface="Arial" panose="020B0604020202020204" pitchFamily="34" charset="0"/>
              <a:cs typeface="Arial" panose="020B0604020202020204" pitchFamily="34" charset="0"/>
            </a:rPr>
            <a:t>                                </a:t>
          </a:r>
          <a:r>
            <a:rPr lang="en-US" sz="1100" b="1" baseline="0">
              <a:solidFill>
                <a:schemeClr val="accent5">
                  <a:lumMod val="50000"/>
                </a:schemeClr>
              </a:solidFill>
              <a:latin typeface="Arial" panose="020B0604020202020204" pitchFamily="34" charset="0"/>
              <a:cs typeface="Arial" panose="020B0604020202020204" pitchFamily="34" charset="0"/>
            </a:rPr>
            <a:t>STAKEHOLDERS OF THE PROJECT</a:t>
          </a:r>
        </a:p>
        <a:p>
          <a:pPr algn="l"/>
          <a:r>
            <a:rPr lang="en-US" sz="900">
              <a:solidFill>
                <a:schemeClr val="accent5">
                  <a:lumMod val="50000"/>
                </a:schemeClr>
              </a:solidFill>
              <a:latin typeface="Arial" panose="020B0604020202020204" pitchFamily="34" charset="0"/>
              <a:cs typeface="Arial" panose="020B0604020202020204" pitchFamily="34" charset="0"/>
            </a:rPr>
            <a:t>The key decision-makers for the organization's future and the team responsible for market outreach and sales optimization.</a:t>
          </a:r>
        </a:p>
        <a:p>
          <a:pPr algn="l"/>
          <a:endParaRPr lang="en-US" sz="900">
            <a:solidFill>
              <a:schemeClr val="accent5">
                <a:lumMod val="50000"/>
              </a:schemeClr>
            </a:solidFill>
            <a:latin typeface="Arial" panose="020B0604020202020204" pitchFamily="34" charset="0"/>
            <a:cs typeface="Arial" panose="020B0604020202020204" pitchFamily="34" charset="0"/>
          </a:endParaRPr>
        </a:p>
        <a:p>
          <a:pPr algn="l"/>
          <a:endParaRPr lang="en-US" sz="900">
            <a:solidFill>
              <a:schemeClr val="accent5">
                <a:lumMod val="50000"/>
              </a:schemeClr>
            </a:solidFill>
            <a:latin typeface="Arial" panose="020B0604020202020204" pitchFamily="34" charset="0"/>
            <a:cs typeface="Arial" panose="020B0604020202020204" pitchFamily="34" charset="0"/>
          </a:endParaRPr>
        </a:p>
        <a:p>
          <a:pPr algn="l"/>
          <a:endParaRPr lang="en-US" sz="900">
            <a:solidFill>
              <a:schemeClr val="accent5">
                <a:lumMod val="50000"/>
              </a:schemeClr>
            </a:solidFill>
            <a:latin typeface="Arial" panose="020B0604020202020204" pitchFamily="34" charset="0"/>
            <a:cs typeface="Arial" panose="020B0604020202020204" pitchFamily="34" charset="0"/>
          </a:endParaRPr>
        </a:p>
        <a:p>
          <a:pPr algn="l"/>
          <a:endParaRPr lang="en-US" sz="900">
            <a:solidFill>
              <a:schemeClr val="accent5">
                <a:lumMod val="50000"/>
              </a:schemeClr>
            </a:solidFill>
            <a:latin typeface="Arial" panose="020B0604020202020204" pitchFamily="34" charset="0"/>
            <a:cs typeface="Arial" panose="020B0604020202020204" pitchFamily="34" charset="0"/>
          </a:endParaRPr>
        </a:p>
        <a:p>
          <a:pPr algn="l"/>
          <a:r>
            <a:rPr lang="en-US" sz="1100" b="1">
              <a:solidFill>
                <a:schemeClr val="accent5">
                  <a:lumMod val="50000"/>
                </a:schemeClr>
              </a:solidFill>
              <a:latin typeface="Arial" panose="020B0604020202020204" pitchFamily="34" charset="0"/>
              <a:cs typeface="Arial" panose="020B0604020202020204" pitchFamily="34" charset="0"/>
            </a:rPr>
            <a:t>                           WHAT SUCCESS MEANS TO INDUSTRY</a:t>
          </a:r>
        </a:p>
        <a:p>
          <a:r>
            <a:rPr lang="en-US" sz="900" b="1">
              <a:solidFill>
                <a:schemeClr val="accent5">
                  <a:lumMod val="50000"/>
                </a:schemeClr>
              </a:solidFill>
              <a:latin typeface="Arial" panose="020B0604020202020204" pitchFamily="34" charset="0"/>
              <a:cs typeface="Arial" panose="020B0604020202020204" pitchFamily="34" charset="0"/>
            </a:rPr>
            <a:t>1. Maximizing Sales Value:</a:t>
          </a:r>
          <a:r>
            <a:rPr lang="en-US" sz="900">
              <a:solidFill>
                <a:schemeClr val="accent5">
                  <a:lumMod val="50000"/>
                </a:schemeClr>
              </a:solidFill>
              <a:latin typeface="Arial" panose="020B0604020202020204" pitchFamily="34" charset="0"/>
              <a:cs typeface="Arial" panose="020B0604020202020204" pitchFamily="34" charset="0"/>
            </a:rPr>
            <a:t> Achieving sustained growth in overall revenue, coupled with an increase in the average monetary value generated from each customer transaction.</a:t>
          </a:r>
        </a:p>
        <a:p>
          <a:r>
            <a:rPr lang="en-US" sz="900" b="1">
              <a:solidFill>
                <a:schemeClr val="accent5">
                  <a:lumMod val="50000"/>
                </a:schemeClr>
              </a:solidFill>
              <a:latin typeface="Arial" panose="020B0604020202020204" pitchFamily="34" charset="0"/>
              <a:cs typeface="Arial" panose="020B0604020202020204" pitchFamily="34" charset="0"/>
            </a:rPr>
            <a:t>2. Ensuring Profitable Operations:</a:t>
          </a:r>
          <a:r>
            <a:rPr lang="en-US" sz="900">
              <a:solidFill>
                <a:schemeClr val="accent5">
                  <a:lumMod val="50000"/>
                </a:schemeClr>
              </a:solidFill>
              <a:latin typeface="Arial" panose="020B0604020202020204" pitchFamily="34" charset="0"/>
              <a:cs typeface="Arial" panose="020B0604020202020204" pitchFamily="34" charset="0"/>
            </a:rPr>
            <a:t> Effectively converting sales into healthy net gains by optimizing costs associated with product sourcing, pricing, and logistics like shipping.</a:t>
          </a:r>
        </a:p>
        <a:p>
          <a:r>
            <a:rPr lang="en-US" sz="900" b="1">
              <a:solidFill>
                <a:schemeClr val="accent5">
                  <a:lumMod val="50000"/>
                </a:schemeClr>
              </a:solidFill>
              <a:latin typeface="Arial" panose="020B0604020202020204" pitchFamily="34" charset="0"/>
              <a:cs typeface="Arial" panose="020B0604020202020204" pitchFamily="34" charset="0"/>
            </a:rPr>
            <a:t>3. Cultivating Customer Loyalty:</a:t>
          </a:r>
          <a:r>
            <a:rPr lang="en-US" sz="900">
              <a:solidFill>
                <a:schemeClr val="accent5">
                  <a:lumMod val="50000"/>
                </a:schemeClr>
              </a:solidFill>
              <a:latin typeface="Arial" panose="020B0604020202020204" pitchFamily="34" charset="0"/>
              <a:cs typeface="Arial" panose="020B0604020202020204" pitchFamily="34" charset="0"/>
            </a:rPr>
            <a:t> Building a robust base of returning, high-value customers who consistently choose the store, indicating strong customer satisfaction and retention.</a:t>
          </a:r>
        </a:p>
        <a:p>
          <a:r>
            <a:rPr lang="en-US" sz="900" b="1">
              <a:solidFill>
                <a:schemeClr val="accent5">
                  <a:lumMod val="50000"/>
                </a:schemeClr>
              </a:solidFill>
              <a:latin typeface="Arial" panose="020B0604020202020204" pitchFamily="34" charset="0"/>
              <a:cs typeface="Arial" panose="020B0604020202020204" pitchFamily="34" charset="0"/>
            </a:rPr>
            <a:t>4. Achieving Operational Agility:</a:t>
          </a:r>
          <a:r>
            <a:rPr lang="en-US" sz="900">
              <a:solidFill>
                <a:schemeClr val="accent5">
                  <a:lumMod val="50000"/>
                </a:schemeClr>
              </a:solidFill>
              <a:latin typeface="Arial" panose="020B0604020202020204" pitchFamily="34" charset="0"/>
              <a:cs typeface="Arial" panose="020B0604020202020204" pitchFamily="34" charset="0"/>
            </a:rPr>
            <a:t> Streamlining the entire sales and delivery process to ensure efficient, cost-effective, and timely fulfillment of customer demand.</a:t>
          </a:r>
        </a:p>
        <a:p>
          <a:pPr algn="l"/>
          <a:endParaRPr lang="en-US" sz="1100" b="1">
            <a:solidFill>
              <a:sysClr val="windowText" lastClr="000000"/>
            </a:solidFill>
          </a:endParaRPr>
        </a:p>
        <a:p>
          <a:pPr algn="l"/>
          <a:endParaRPr lang="en-US" sz="900" b="1" baseline="0">
            <a:solidFill>
              <a:schemeClr val="tx1"/>
            </a:solidFill>
          </a:endParaRPr>
        </a:p>
        <a:p>
          <a:pPr algn="l"/>
          <a:endParaRPr lang="en-US" sz="900" b="1" baseline="0">
            <a:solidFill>
              <a:schemeClr val="tx1"/>
            </a:solidFill>
          </a:endParaRPr>
        </a:p>
        <a:p>
          <a:pPr algn="l"/>
          <a:endParaRPr lang="en-US" sz="800" b="1" baseline="0">
            <a:solidFill>
              <a:schemeClr val="tx1"/>
            </a:solidFill>
          </a:endParaRPr>
        </a:p>
        <a:p>
          <a:pPr algn="l"/>
          <a:endParaRPr lang="en-US" sz="1100" b="1" baseline="0"/>
        </a:p>
        <a:p>
          <a:pPr algn="l"/>
          <a:endParaRPr lang="en-US" sz="1100" baseline="0"/>
        </a:p>
        <a:p>
          <a:pPr algn="l"/>
          <a:endParaRPr lang="en-US" sz="1100"/>
        </a:p>
      </xdr:txBody>
    </xdr:sp>
    <xdr:clientData/>
  </xdr:twoCellAnchor>
  <xdr:twoCellAnchor>
    <xdr:from>
      <xdr:col>8</xdr:col>
      <xdr:colOff>203200</xdr:colOff>
      <xdr:row>21</xdr:row>
      <xdr:rowOff>107950</xdr:rowOff>
    </xdr:from>
    <xdr:to>
      <xdr:col>16</xdr:col>
      <xdr:colOff>184150</xdr:colOff>
      <xdr:row>53</xdr:row>
      <xdr:rowOff>0</xdr:rowOff>
    </xdr:to>
    <xdr:sp macro="" textlink="">
      <xdr:nvSpPr>
        <xdr:cNvPr id="6" name="Rectangle: Rounded Corners 5">
          <a:extLst>
            <a:ext uri="{FF2B5EF4-FFF2-40B4-BE49-F238E27FC236}">
              <a16:creationId xmlns:a16="http://schemas.microsoft.com/office/drawing/2014/main" id="{953F7566-9890-4AFF-A107-AFFC4A956C2E}"/>
            </a:ext>
          </a:extLst>
        </xdr:cNvPr>
        <xdr:cNvSpPr/>
      </xdr:nvSpPr>
      <xdr:spPr>
        <a:xfrm>
          <a:off x="5080000" y="3994150"/>
          <a:ext cx="4857750" cy="5813879"/>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r>
            <a:rPr lang="en-US" b="1"/>
            <a:t>POTENTIAL INSIGHTS</a:t>
          </a:r>
        </a:p>
        <a:p>
          <a:r>
            <a:rPr lang="en-US" sz="900">
              <a:latin typeface="Arial" panose="020B0604020202020204" pitchFamily="34" charset="0"/>
              <a:cs typeface="Arial" panose="020B0604020202020204" pitchFamily="34" charset="0"/>
            </a:rPr>
            <a:t>1. Refine overall business outcomes for 2014 by identifying seasonal sales highs and lows to better plan inventory and marketing efforts.</a:t>
          </a:r>
        </a:p>
        <a:p>
          <a:r>
            <a:rPr lang="en-US" sz="900">
              <a:latin typeface="Arial" panose="020B0604020202020204" pitchFamily="34" charset="0"/>
              <a:cs typeface="Arial" panose="020B0604020202020204" pitchFamily="34" charset="0"/>
            </a:rPr>
            <a:t>2. Improve sales strategy by recognizing top sales performers, enabling best practice sharing and acknowledgment of individual success.</a:t>
          </a:r>
        </a:p>
        <a:p>
          <a:r>
            <a:rPr lang="en-US" sz="900">
              <a:latin typeface="Arial" panose="020B0604020202020204" pitchFamily="34" charset="0"/>
              <a:cs typeface="Arial" panose="020B0604020202020204" pitchFamily="34" charset="0"/>
            </a:rPr>
            <a:t>3. Enhance product planning by identifying top-earning categories, aiding in inventory prioritization, marketing focus, and future product development.</a:t>
          </a:r>
        </a:p>
        <a:p>
          <a:r>
            <a:rPr lang="en-US" sz="900">
              <a:latin typeface="Arial" panose="020B0604020202020204" pitchFamily="34" charset="0"/>
              <a:cs typeface="Arial" panose="020B0604020202020204" pitchFamily="34" charset="0"/>
            </a:rPr>
            <a:t>4. Optimize resource deployment by analyzing regional performance to spotlight key markets and direct growth-oriented marketing campaigns.</a:t>
          </a:r>
        </a:p>
        <a:p>
          <a:r>
            <a:rPr lang="en-US" sz="900">
              <a:latin typeface="Arial" panose="020B0604020202020204" pitchFamily="34" charset="0"/>
              <a:cs typeface="Arial" panose="020B0604020202020204" pitchFamily="34" charset="0"/>
            </a:rPr>
            <a:t>5. Set better sales benchmarks using average purchase quantities to uncover opportunities for encouraging larger transactions.</a:t>
          </a:r>
        </a:p>
        <a:p>
          <a:r>
            <a:rPr lang="en-US" sz="900">
              <a:latin typeface="Arial" panose="020B0604020202020204" pitchFamily="34" charset="0"/>
              <a:cs typeface="Arial" panose="020B0604020202020204" pitchFamily="34" charset="0"/>
            </a:rPr>
            <a:t>6. Improve checkout experiences by determining the most used payment types and identifying links between them and higher transaction values.</a:t>
          </a:r>
        </a:p>
        <a:p>
          <a:r>
            <a:rPr lang="en-US" sz="900">
              <a:latin typeface="Arial" panose="020B0604020202020204" pitchFamily="34" charset="0"/>
              <a:cs typeface="Arial" panose="020B0604020202020204" pitchFamily="34" charset="0"/>
            </a:rPr>
            <a:t>7. Streamline logistics by evaluating shipping expenses per country to find inefficiencies and opportunities to reduce costs and boost profit.</a:t>
          </a:r>
        </a:p>
        <a:p>
          <a:r>
            <a:rPr lang="en-US" sz="900">
              <a:latin typeface="Arial" panose="020B0604020202020204" pitchFamily="34" charset="0"/>
              <a:cs typeface="Arial" panose="020B0604020202020204" pitchFamily="34" charset="0"/>
            </a:rPr>
            <a:t>8. Strengthen customer engagement by identifying top-value clients for tailored marketing, loyalty initiatives, and personalized outreach.</a:t>
          </a:r>
        </a:p>
        <a:p>
          <a:r>
            <a:rPr lang="en-US" sz="900">
              <a:latin typeface="Arial" panose="020B0604020202020204" pitchFamily="34" charset="0"/>
              <a:cs typeface="Arial" panose="020B0604020202020204" pitchFamily="34" charset="0"/>
            </a:rPr>
            <a:t>9. Tailor regional approaches by uncovering local preferences in product categories, helping fine-tune inventory and marketing for each area.</a:t>
          </a:r>
        </a:p>
        <a:p>
          <a:r>
            <a:rPr lang="en-US" sz="900">
              <a:latin typeface="Arial" panose="020B0604020202020204" pitchFamily="34" charset="0"/>
              <a:cs typeface="Arial" panose="020B0604020202020204" pitchFamily="34" charset="0"/>
            </a:rPr>
            <a:t>10. Refine pricing decisions by analyzing typical unit prices per category to separate high-margin from budget categories and assess earning potential.</a:t>
          </a:r>
        </a:p>
        <a:p>
          <a:r>
            <a:rPr lang="en-US" sz="900">
              <a:latin typeface="Arial" panose="020B0604020202020204" pitchFamily="34" charset="0"/>
              <a:cs typeface="Arial" panose="020B0604020202020204" pitchFamily="34" charset="0"/>
            </a:rPr>
            <a:t>11. Boost sales team impact by spotting low-performing sales reps for focused coaching or reassignment.</a:t>
          </a:r>
        </a:p>
        <a:p>
          <a:r>
            <a:rPr lang="en-US" sz="900">
              <a:latin typeface="Arial" panose="020B0604020202020204" pitchFamily="34" charset="0"/>
              <a:cs typeface="Arial" panose="020B0604020202020204" pitchFamily="34" charset="0"/>
            </a:rPr>
            <a:t>12. Improve forecasting and short-term planning by tracking monthly revenue patterns to uncover seasonal trends or event-driven changes.</a:t>
          </a:r>
        </a:p>
        <a:p>
          <a:r>
            <a:rPr lang="en-US" sz="900">
              <a:latin typeface="Arial" panose="020B0604020202020204" pitchFamily="34" charset="0"/>
              <a:cs typeface="Arial" panose="020B0604020202020204" pitchFamily="34" charset="0"/>
            </a:rPr>
            <a:t>13. Enhance marketing and distribution focus by identifying the most profitable shipping destinations and targeting promising cities.</a:t>
          </a:r>
        </a:p>
        <a:p>
          <a:r>
            <a:rPr lang="en-US" sz="900">
              <a:latin typeface="Arial" panose="020B0604020202020204" pitchFamily="34" charset="0"/>
              <a:cs typeface="Arial" panose="020B0604020202020204" pitchFamily="34" charset="0"/>
            </a:rPr>
            <a:t>14. Improve promotion strategies by analyzing how payment methods correlate with purchase volumes for top-selling items.</a:t>
          </a:r>
        </a:p>
        <a:p>
          <a:r>
            <a:rPr lang="en-US" sz="900">
              <a:latin typeface="Arial" panose="020B0604020202020204" pitchFamily="34" charset="0"/>
              <a:cs typeface="Arial" panose="020B0604020202020204" pitchFamily="34" charset="0"/>
            </a:rPr>
            <a:t>15. Evaluate logistics providers by comparing average shipping fees by courier to assess cost-efficiency and consider renegotiation or alternatives.</a:t>
          </a:r>
        </a:p>
        <a:p>
          <a:r>
            <a:rPr lang="en-US" sz="900">
              <a:latin typeface="Arial" panose="020B0604020202020204" pitchFamily="34" charset="0"/>
              <a:cs typeface="Arial" panose="020B0604020202020204" pitchFamily="34" charset="0"/>
            </a:rPr>
            <a:t>16. Understand sales team performance in context by mapping revenue by region and salesperson, revealing both regional advantages and weaknesses.</a:t>
          </a:r>
        </a:p>
        <a:p>
          <a:r>
            <a:rPr lang="en-US" sz="900">
              <a:latin typeface="Arial" panose="020B0604020202020204" pitchFamily="34" charset="0"/>
              <a:cs typeface="Arial" panose="020B0604020202020204" pitchFamily="34" charset="0"/>
            </a:rPr>
            <a:t>17. Guide customer acquisition and loyalty strategies by analyzing the number of distinct customers and their average contribution to revenue.</a:t>
          </a:r>
        </a:p>
        <a:p>
          <a:r>
            <a:rPr lang="en-US" sz="900">
              <a:latin typeface="Arial" panose="020B0604020202020204" pitchFamily="34" charset="0"/>
              <a:cs typeface="Arial" panose="020B0604020202020204" pitchFamily="34" charset="0"/>
            </a:rPr>
            <a:t>18. Optimize pricing and marketing for low-performing products by understanding if poor performance is price-related, volume-based, or both.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3</xdr:row>
      <xdr:rowOff>3810</xdr:rowOff>
    </xdr:from>
    <xdr:to>
      <xdr:col>11</xdr:col>
      <xdr:colOff>320040</xdr:colOff>
      <xdr:row>18</xdr:row>
      <xdr:rowOff>3810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463974</xdr:colOff>
      <xdr:row>15</xdr:row>
      <xdr:rowOff>60960</xdr:rowOff>
    </xdr:from>
    <xdr:to>
      <xdr:col>11</xdr:col>
      <xdr:colOff>154941</xdr:colOff>
      <xdr:row>30</xdr:row>
      <xdr:rowOff>60960</xdr:rowOff>
    </xdr:to>
    <xdr:graphicFrame macro="">
      <xdr:nvGraphicFramePr>
        <xdr:cNvPr id="3" name="Chart 2">
          <a:extLst>
            <a:ext uri="{FF2B5EF4-FFF2-40B4-BE49-F238E27FC236}">
              <a16:creationId xmlns:a16="http://schemas.microsoft.com/office/drawing/2014/main" id="{F8E22F59-30D8-4C8A-BB85-9AFB9BC04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351789</xdr:colOff>
      <xdr:row>3</xdr:row>
      <xdr:rowOff>65193</xdr:rowOff>
    </xdr:from>
    <xdr:to>
      <xdr:col>20</xdr:col>
      <xdr:colOff>42756</xdr:colOff>
      <xdr:row>18</xdr:row>
      <xdr:rowOff>65193</xdr:rowOff>
    </xdr:to>
    <xdr:graphicFrame macro="">
      <xdr:nvGraphicFramePr>
        <xdr:cNvPr id="4" name="Chart 3">
          <a:extLst>
            <a:ext uri="{FF2B5EF4-FFF2-40B4-BE49-F238E27FC236}">
              <a16:creationId xmlns:a16="http://schemas.microsoft.com/office/drawing/2014/main" id="{B0398AAC-F37D-4817-9867-D0C2A8E3C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3</xdr:row>
      <xdr:rowOff>3810</xdr:rowOff>
    </xdr:from>
    <xdr:to>
      <xdr:col>11</xdr:col>
      <xdr:colOff>320040</xdr:colOff>
      <xdr:row>18</xdr:row>
      <xdr:rowOff>3810</xdr:rowOff>
    </xdr:to>
    <xdr:graphicFrame macro="">
      <xdr:nvGraphicFramePr>
        <xdr:cNvPr id="2" name="Chart 1">
          <a:extLst>
            <a:ext uri="{FF2B5EF4-FFF2-40B4-BE49-F238E27FC236}">
              <a16:creationId xmlns:a16="http://schemas.microsoft.com/office/drawing/2014/main" id="{B9904221-07EE-4483-B2DF-DF880D417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463974</xdr:colOff>
      <xdr:row>15</xdr:row>
      <xdr:rowOff>60960</xdr:rowOff>
    </xdr:from>
    <xdr:to>
      <xdr:col>11</xdr:col>
      <xdr:colOff>154941</xdr:colOff>
      <xdr:row>30</xdr:row>
      <xdr:rowOff>60960</xdr:rowOff>
    </xdr:to>
    <xdr:graphicFrame macro="">
      <xdr:nvGraphicFramePr>
        <xdr:cNvPr id="3" name="Chart 2">
          <a:extLst>
            <a:ext uri="{FF2B5EF4-FFF2-40B4-BE49-F238E27FC236}">
              <a16:creationId xmlns:a16="http://schemas.microsoft.com/office/drawing/2014/main" id="{3CFB1FD5-1B8F-4C0B-8A10-1256E3514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351789</xdr:colOff>
      <xdr:row>3</xdr:row>
      <xdr:rowOff>65193</xdr:rowOff>
    </xdr:from>
    <xdr:to>
      <xdr:col>20</xdr:col>
      <xdr:colOff>42756</xdr:colOff>
      <xdr:row>18</xdr:row>
      <xdr:rowOff>65193</xdr:rowOff>
    </xdr:to>
    <xdr:graphicFrame macro="">
      <xdr:nvGraphicFramePr>
        <xdr:cNvPr id="4" name="Chart 3">
          <a:extLst>
            <a:ext uri="{FF2B5EF4-FFF2-40B4-BE49-F238E27FC236}">
              <a16:creationId xmlns:a16="http://schemas.microsoft.com/office/drawing/2014/main" id="{0CA43EB1-F3AD-4F8D-BB49-116847B95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472440</xdr:colOff>
      <xdr:row>7</xdr:row>
      <xdr:rowOff>108585</xdr:rowOff>
    </xdr:from>
    <xdr:to>
      <xdr:col>13</xdr:col>
      <xdr:colOff>99060</xdr:colOff>
      <xdr:row>22</xdr:row>
      <xdr:rowOff>108585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472440</xdr:colOff>
      <xdr:row>7</xdr:row>
      <xdr:rowOff>118110</xdr:rowOff>
    </xdr:from>
    <xdr:to>
      <xdr:col>13</xdr:col>
      <xdr:colOff>99060</xdr:colOff>
      <xdr:row>22</xdr:row>
      <xdr:rowOff>118110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518160</xdr:colOff>
      <xdr:row>3</xdr:row>
      <xdr:rowOff>72390</xdr:rowOff>
    </xdr:from>
    <xdr:to>
      <xdr:col>13</xdr:col>
      <xdr:colOff>228600</xdr:colOff>
      <xdr:row>18</xdr:row>
      <xdr:rowOff>72390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518160</xdr:colOff>
      <xdr:row>3</xdr:row>
      <xdr:rowOff>72390</xdr:rowOff>
    </xdr:from>
    <xdr:to>
      <xdr:col>13</xdr:col>
      <xdr:colOff>228600</xdr:colOff>
      <xdr:row>18</xdr:row>
      <xdr:rowOff>72390</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518160</xdr:colOff>
      <xdr:row>3</xdr:row>
      <xdr:rowOff>72390</xdr:rowOff>
    </xdr:from>
    <xdr:to>
      <xdr:col>13</xdr:col>
      <xdr:colOff>228600</xdr:colOff>
      <xdr:row>18</xdr:row>
      <xdr:rowOff>72390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333375</xdr:colOff>
      <xdr:row>3</xdr:row>
      <xdr:rowOff>166687</xdr:rowOff>
    </xdr:from>
    <xdr:to>
      <xdr:col>13</xdr:col>
      <xdr:colOff>28575</xdr:colOff>
      <xdr:row>18</xdr:row>
      <xdr:rowOff>52387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10AF075-C62A-4D51-B066-D59297A7BF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76700" y="7381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518160</xdr:colOff>
      <xdr:row>3</xdr:row>
      <xdr:rowOff>72390</xdr:rowOff>
    </xdr:from>
    <xdr:to>
      <xdr:col>13</xdr:col>
      <xdr:colOff>228600</xdr:colOff>
      <xdr:row>18</xdr:row>
      <xdr:rowOff>72390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518160</xdr:colOff>
      <xdr:row>3</xdr:row>
      <xdr:rowOff>72390</xdr:rowOff>
    </xdr:from>
    <xdr:to>
      <xdr:col>13</xdr:col>
      <xdr:colOff>228600</xdr:colOff>
      <xdr:row>18</xdr:row>
      <xdr:rowOff>72390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220980</xdr:colOff>
      <xdr:row>1</xdr:row>
      <xdr:rowOff>45720</xdr:rowOff>
    </xdr:from>
    <xdr:to>
      <xdr:col>7</xdr:col>
      <xdr:colOff>396240</xdr:colOff>
      <xdr:row>14</xdr:row>
      <xdr:rowOff>152400</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220980" y="228600"/>
          <a:ext cx="4442460" cy="2484120"/>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latin typeface="Arial" panose="020B0604020202020204" pitchFamily="34" charset="0"/>
              <a:cs typeface="Arial" panose="020B0604020202020204" pitchFamily="34" charset="0"/>
            </a:rPr>
            <a:t>ANALYSIS</a:t>
          </a:r>
          <a:r>
            <a:rPr lang="en-US" sz="900" baseline="0">
              <a:latin typeface="Arial" panose="020B0604020202020204" pitchFamily="34" charset="0"/>
              <a:cs typeface="Arial" panose="020B0604020202020204" pitchFamily="34" charset="0"/>
            </a:rPr>
            <a:t> - </a:t>
          </a:r>
          <a:r>
            <a:rPr lang="en-US" sz="800" baseline="0">
              <a:latin typeface="Arial" panose="020B0604020202020204" pitchFamily="34" charset="0"/>
              <a:cs typeface="Arial" panose="020B0604020202020204" pitchFamily="34" charset="0"/>
            </a:rPr>
            <a:t>Top 10 Customers</a:t>
          </a:r>
        </a:p>
        <a:p>
          <a:pPr algn="l"/>
          <a:endParaRPr lang="en-US" sz="800" baseline="0">
            <a:latin typeface="Arial" panose="020B0604020202020204" pitchFamily="34" charset="0"/>
            <a:cs typeface="Arial" panose="020B0604020202020204" pitchFamily="34" charset="0"/>
          </a:endParaRPr>
        </a:p>
        <a:p>
          <a:pPr algn="l"/>
          <a:r>
            <a:rPr lang="en-US" sz="800" b="1" baseline="0">
              <a:latin typeface="Arial" panose="020B0604020202020204" pitchFamily="34" charset="0"/>
              <a:cs typeface="Arial" panose="020B0604020202020204" pitchFamily="34" charset="0"/>
            </a:rPr>
            <a:t>OBSERVATIONS</a:t>
          </a:r>
        </a:p>
        <a:p>
          <a:pPr algn="l"/>
          <a:r>
            <a:rPr lang="en-US" sz="800" baseline="0">
              <a:latin typeface="Arial" panose="020B0604020202020204" pitchFamily="34" charset="0"/>
              <a:cs typeface="Arial" panose="020B0604020202020204" pitchFamily="34" charset="0"/>
            </a:rPr>
            <a:t>-Company D is the top customer with the highest revenue generation of $67,181 </a:t>
          </a:r>
        </a:p>
        <a:p>
          <a:pPr algn="l"/>
          <a:r>
            <a:rPr lang="en-US" sz="800" baseline="0">
              <a:latin typeface="Arial" panose="020B0604020202020204" pitchFamily="34" charset="0"/>
              <a:cs typeface="Arial" panose="020B0604020202020204" pitchFamily="34" charset="0"/>
            </a:rPr>
            <a:t>-Company H came second wirh revenue generation of $50,208</a:t>
          </a:r>
        </a:p>
        <a:p>
          <a:pPr algn="l"/>
          <a:r>
            <a:rPr lang="en-US" sz="800" baseline="0">
              <a:latin typeface="Arial" panose="020B0604020202020204" pitchFamily="34" charset="0"/>
              <a:cs typeface="Arial" panose="020B0604020202020204" pitchFamily="34" charset="0"/>
            </a:rPr>
            <a:t>-Company BB came in as the third with $43,713 revenue generated</a:t>
          </a:r>
        </a:p>
        <a:p>
          <a:pPr algn="l"/>
          <a:r>
            <a:rPr lang="en-US" sz="800" baseline="0">
              <a:latin typeface="Arial" panose="020B0604020202020204" pitchFamily="34" charset="0"/>
              <a:cs typeface="Arial" panose="020B0604020202020204" pitchFamily="34" charset="0"/>
            </a:rPr>
            <a:t>-Company K has the lowest revenue generation of $21,937</a:t>
          </a:r>
        </a:p>
        <a:p>
          <a:pPr algn="l"/>
          <a:r>
            <a:rPr lang="en-US" sz="800" baseline="0">
              <a:latin typeface="Arial" panose="020B0604020202020204" pitchFamily="34" charset="0"/>
              <a:cs typeface="Arial" panose="020B0604020202020204" pitchFamily="34" charset="0"/>
            </a:rPr>
            <a:t>-Revenue generated by Company D is more than 3 times revenue generated by Company K as the customer with the least revenue</a:t>
          </a:r>
        </a:p>
        <a:p>
          <a:pPr algn="l"/>
          <a:endParaRPr lang="en-US" sz="800" baseline="0">
            <a:latin typeface="Arial" panose="020B0604020202020204" pitchFamily="34" charset="0"/>
            <a:cs typeface="Arial" panose="020B0604020202020204" pitchFamily="34" charset="0"/>
          </a:endParaRPr>
        </a:p>
        <a:p>
          <a:pPr algn="l"/>
          <a:r>
            <a:rPr lang="en-US" sz="800" b="1" baseline="0">
              <a:latin typeface="Arial" panose="020B0604020202020204" pitchFamily="34" charset="0"/>
              <a:cs typeface="Arial" panose="020B0604020202020204" pitchFamily="34" charset="0"/>
            </a:rPr>
            <a:t>PRE-INSIGHT</a:t>
          </a:r>
        </a:p>
        <a:p>
          <a:pPr algn="l"/>
          <a:r>
            <a:rPr lang="en-US" sz="800" b="0" baseline="0">
              <a:latin typeface="Arial" panose="020B0604020202020204" pitchFamily="34" charset="0"/>
              <a:cs typeface="Arial" panose="020B0604020202020204" pitchFamily="34" charset="0"/>
            </a:rPr>
            <a:t>-A loyalty reward program should be implemented to appreciate the best perfoming customer of the year</a:t>
          </a:r>
        </a:p>
        <a:p>
          <a:pPr algn="l"/>
          <a:r>
            <a:rPr lang="en-US" sz="800" b="0" baseline="0">
              <a:latin typeface="Arial" panose="020B0604020202020204" pitchFamily="34" charset="0"/>
              <a:cs typeface="Arial" panose="020B0604020202020204" pitchFamily="34" charset="0"/>
            </a:rPr>
            <a:t>-A promo program should be introduce to attract the least performing customers to increase their purchase </a:t>
          </a:r>
        </a:p>
        <a:p>
          <a:pPr algn="l"/>
          <a:r>
            <a:rPr lang="en-US" sz="800" b="0" baseline="0">
              <a:latin typeface="Arial" panose="020B0604020202020204" pitchFamily="34" charset="0"/>
              <a:cs typeface="Arial" panose="020B0604020202020204" pitchFamily="34" charset="0"/>
            </a:rPr>
            <a:t>-Using adds method, goods that are purchased by the least perfoming customers should be recommended to them, reminding them the availability of the goods</a:t>
          </a:r>
        </a:p>
        <a:p>
          <a:pPr algn="l"/>
          <a:r>
            <a:rPr lang="en-US" sz="800" b="0" baseline="0">
              <a:latin typeface="Arial" panose="020B0604020202020204" pitchFamily="34" charset="0"/>
              <a:cs typeface="Arial" panose="020B0604020202020204" pitchFamily="34" charset="0"/>
            </a:rPr>
            <a:t>-Customer K generated the least revenue, there is a need for more engagement with the customer to find out challenges </a:t>
          </a:r>
        </a:p>
      </xdr:txBody>
    </xdr:sp>
    <xdr:clientData/>
  </xdr:twoCellAnchor>
  <xdr:twoCellAnchor>
    <xdr:from>
      <xdr:col>0</xdr:col>
      <xdr:colOff>167640</xdr:colOff>
      <xdr:row>15</xdr:row>
      <xdr:rowOff>45720</xdr:rowOff>
    </xdr:from>
    <xdr:to>
      <xdr:col>7</xdr:col>
      <xdr:colOff>403860</xdr:colOff>
      <xdr:row>28</xdr:row>
      <xdr:rowOff>152400</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167640" y="2788920"/>
          <a:ext cx="4503420" cy="2484120"/>
        </a:xfrm>
        <a:prstGeom prst="roundRect">
          <a:avLst/>
        </a:prstGeom>
        <a:solidFill>
          <a:sysClr val="window" lastClr="FFFFFF"/>
        </a:solidFill>
        <a:ln w="3175">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5">
                  <a:lumMod val="50000"/>
                </a:schemeClr>
              </a:solidFill>
              <a:latin typeface="Arial" panose="020B0604020202020204" pitchFamily="34" charset="0"/>
              <a:cs typeface="Arial" panose="020B0604020202020204" pitchFamily="34" charset="0"/>
            </a:rPr>
            <a:t>ANALYSIS</a:t>
          </a:r>
          <a:r>
            <a:rPr lang="en-US" sz="900">
              <a:solidFill>
                <a:schemeClr val="accent5">
                  <a:lumMod val="50000"/>
                </a:schemeClr>
              </a:solidFill>
              <a:latin typeface="Arial" panose="020B0604020202020204" pitchFamily="34" charset="0"/>
              <a:cs typeface="Arial" panose="020B0604020202020204" pitchFamily="34" charset="0"/>
            </a:rPr>
            <a:t> - </a:t>
          </a:r>
          <a:r>
            <a:rPr lang="en-US" sz="800">
              <a:solidFill>
                <a:schemeClr val="accent5">
                  <a:lumMod val="50000"/>
                </a:schemeClr>
              </a:solidFill>
              <a:latin typeface="Arial" panose="020B0604020202020204" pitchFamily="34" charset="0"/>
              <a:cs typeface="Arial" panose="020B0604020202020204" pitchFamily="34" charset="0"/>
            </a:rPr>
            <a:t>Regional Perforance</a:t>
          </a:r>
        </a:p>
        <a:p>
          <a:pPr algn="l"/>
          <a:endParaRPr lang="en-US" sz="800">
            <a:solidFill>
              <a:schemeClr val="accent5">
                <a:lumMod val="50000"/>
              </a:schemeClr>
            </a:solidFill>
            <a:latin typeface="Arial" panose="020B0604020202020204" pitchFamily="34" charset="0"/>
            <a:cs typeface="Arial" panose="020B0604020202020204" pitchFamily="34" charset="0"/>
          </a:endParaRPr>
        </a:p>
        <a:p>
          <a:pPr algn="l"/>
          <a:r>
            <a:rPr lang="en-US" sz="800" b="1">
              <a:solidFill>
                <a:schemeClr val="accent5">
                  <a:lumMod val="50000"/>
                </a:schemeClr>
              </a:solidFill>
              <a:latin typeface="Arial" panose="020B0604020202020204" pitchFamily="34" charset="0"/>
              <a:cs typeface="Arial" panose="020B0604020202020204" pitchFamily="34" charset="0"/>
            </a:rPr>
            <a:t>OBSERVATION</a:t>
          </a:r>
        </a:p>
        <a:p>
          <a:pPr algn="l"/>
          <a:r>
            <a:rPr lang="en-US" sz="800">
              <a:solidFill>
                <a:schemeClr val="accent5">
                  <a:lumMod val="50000"/>
                </a:schemeClr>
              </a:solidFill>
              <a:latin typeface="Arial" panose="020B0604020202020204" pitchFamily="34" charset="0"/>
              <a:cs typeface="Arial" panose="020B0604020202020204" pitchFamily="34" charset="0"/>
            </a:rPr>
            <a:t>-The</a:t>
          </a:r>
          <a:r>
            <a:rPr lang="en-US" sz="800" baseline="0">
              <a:solidFill>
                <a:schemeClr val="accent5">
                  <a:lumMod val="50000"/>
                </a:schemeClr>
              </a:solidFill>
              <a:latin typeface="Arial" panose="020B0604020202020204" pitchFamily="34" charset="0"/>
              <a:cs typeface="Arial" panose="020B0604020202020204" pitchFamily="34" charset="0"/>
            </a:rPr>
            <a:t> Northern region generated the highest revenue of $141,680</a:t>
          </a:r>
        </a:p>
        <a:p>
          <a:pPr algn="l"/>
          <a:r>
            <a:rPr lang="en-US" sz="800" baseline="0">
              <a:solidFill>
                <a:schemeClr val="accent5">
                  <a:lumMod val="50000"/>
                </a:schemeClr>
              </a:solidFill>
              <a:latin typeface="Arial" panose="020B0604020202020204" pitchFamily="34" charset="0"/>
              <a:cs typeface="Arial" panose="020B0604020202020204" pitchFamily="34" charset="0"/>
            </a:rPr>
            <a:t>-The Eastern region came second with $108,276 revenue generated</a:t>
          </a:r>
        </a:p>
        <a:p>
          <a:pPr algn="l"/>
          <a:r>
            <a:rPr lang="en-US" sz="800" baseline="0">
              <a:solidFill>
                <a:schemeClr val="accent5">
                  <a:lumMod val="50000"/>
                </a:schemeClr>
              </a:solidFill>
              <a:latin typeface="Arial" panose="020B0604020202020204" pitchFamily="34" charset="0"/>
              <a:cs typeface="Arial" panose="020B0604020202020204" pitchFamily="34" charset="0"/>
            </a:rPr>
            <a:t>-The Southern region generated $93,858 revenue came in as the third</a:t>
          </a:r>
        </a:p>
        <a:p>
          <a:pPr algn="l"/>
          <a:r>
            <a:rPr lang="en-US" sz="800" baseline="0">
              <a:solidFill>
                <a:schemeClr val="accent5">
                  <a:lumMod val="50000"/>
                </a:schemeClr>
              </a:solidFill>
              <a:latin typeface="Arial" panose="020B0604020202020204" pitchFamily="34" charset="0"/>
              <a:cs typeface="Arial" panose="020B0604020202020204" pitchFamily="34" charset="0"/>
            </a:rPr>
            <a:t>-The Western region generated the least revenue of $91,252</a:t>
          </a:r>
        </a:p>
        <a:p>
          <a:pPr algn="l"/>
          <a:r>
            <a:rPr lang="en-US" sz="800" baseline="0">
              <a:solidFill>
                <a:schemeClr val="accent5">
                  <a:lumMod val="50000"/>
                </a:schemeClr>
              </a:solidFill>
              <a:latin typeface="Arial" panose="020B0604020202020204" pitchFamily="34" charset="0"/>
              <a:cs typeface="Arial" panose="020B0604020202020204" pitchFamily="34" charset="0"/>
            </a:rPr>
            <a:t>-There is no significant difference in the revenue generated </a:t>
          </a:r>
        </a:p>
        <a:p>
          <a:pPr algn="l"/>
          <a:endParaRPr lang="en-US" sz="800" baseline="0">
            <a:solidFill>
              <a:schemeClr val="accent5">
                <a:lumMod val="50000"/>
              </a:schemeClr>
            </a:solidFill>
            <a:latin typeface="Arial" panose="020B0604020202020204" pitchFamily="34" charset="0"/>
            <a:cs typeface="Arial" panose="020B0604020202020204" pitchFamily="34" charset="0"/>
          </a:endParaRPr>
        </a:p>
        <a:p>
          <a:pPr algn="l"/>
          <a:r>
            <a:rPr lang="en-US" sz="800" b="1" baseline="0">
              <a:solidFill>
                <a:schemeClr val="accent5">
                  <a:lumMod val="50000"/>
                </a:schemeClr>
              </a:solidFill>
              <a:latin typeface="Arial" panose="020B0604020202020204" pitchFamily="34" charset="0"/>
              <a:cs typeface="Arial" panose="020B0604020202020204" pitchFamily="34" charset="0"/>
            </a:rPr>
            <a:t>PRE-INSIGHT</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methodology used in the North should be implemented in the west to increase revenue generation</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western region should be audited to identify the root cause of the low performance</a:t>
          </a:r>
        </a:p>
        <a:p>
          <a:pPr algn="l"/>
          <a:r>
            <a:rPr lang="en-US" sz="800" b="0">
              <a:solidFill>
                <a:schemeClr val="accent5">
                  <a:lumMod val="50000"/>
                </a:schemeClr>
              </a:solidFill>
              <a:latin typeface="Arial" panose="020B0604020202020204" pitchFamily="34" charset="0"/>
              <a:cs typeface="Arial" panose="020B0604020202020204" pitchFamily="34" charset="0"/>
            </a:rPr>
            <a:t>-Top</a:t>
          </a:r>
          <a:r>
            <a:rPr lang="en-US" sz="800" b="0" baseline="0">
              <a:solidFill>
                <a:schemeClr val="accent5">
                  <a:lumMod val="50000"/>
                </a:schemeClr>
              </a:solidFill>
              <a:latin typeface="Arial" panose="020B0604020202020204" pitchFamily="34" charset="0"/>
              <a:cs typeface="Arial" panose="020B0604020202020204" pitchFamily="34" charset="0"/>
            </a:rPr>
            <a:t> salespersons from the best perfoming region should be moved to the least performing region to boost sales and improve revenue generation</a:t>
          </a:r>
        </a:p>
        <a:p>
          <a:pPr algn="l"/>
          <a:r>
            <a:rPr lang="en-US" sz="800" b="0" baseline="0">
              <a:solidFill>
                <a:schemeClr val="accent5">
                  <a:lumMod val="50000"/>
                </a:schemeClr>
              </a:solidFill>
              <a:latin typeface="Arial" panose="020B0604020202020204" pitchFamily="34" charset="0"/>
              <a:cs typeface="Arial" panose="020B0604020202020204" pitchFamily="34" charset="0"/>
            </a:rPr>
            <a:t>-Salespersons in the western region should undergo a training on sales to improve their skills</a:t>
          </a:r>
        </a:p>
        <a:p>
          <a:pPr algn="l"/>
          <a:r>
            <a:rPr lang="en-US" sz="800" b="0" baseline="0">
              <a:solidFill>
                <a:schemeClr val="accent5">
                  <a:lumMod val="50000"/>
                </a:schemeClr>
              </a:solidFill>
              <a:latin typeface="Arial" panose="020B0604020202020204" pitchFamily="34" charset="0"/>
              <a:cs typeface="Arial" panose="020B0604020202020204" pitchFamily="34" charset="0"/>
            </a:rPr>
            <a:t>-</a:t>
          </a:r>
          <a:endParaRPr lang="en-US" sz="800" b="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xdr:from>
      <xdr:col>7</xdr:col>
      <xdr:colOff>525780</xdr:colOff>
      <xdr:row>15</xdr:row>
      <xdr:rowOff>68580</xdr:rowOff>
    </xdr:from>
    <xdr:to>
      <xdr:col>15</xdr:col>
      <xdr:colOff>53340</xdr:colOff>
      <xdr:row>28</xdr:row>
      <xdr:rowOff>175260</xdr:rowOff>
    </xdr:to>
    <xdr:sp macro="" textlink="">
      <xdr:nvSpPr>
        <xdr:cNvPr id="4" name="Rounded Rectangle 3">
          <a:extLst>
            <a:ext uri="{FF2B5EF4-FFF2-40B4-BE49-F238E27FC236}">
              <a16:creationId xmlns:a16="http://schemas.microsoft.com/office/drawing/2014/main" id="{00000000-0008-0000-0C00-000004000000}"/>
            </a:ext>
          </a:extLst>
        </xdr:cNvPr>
        <xdr:cNvSpPr/>
      </xdr:nvSpPr>
      <xdr:spPr>
        <a:xfrm>
          <a:off x="4792980" y="2811780"/>
          <a:ext cx="4404360" cy="2484120"/>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latin typeface="Arial" panose="020B0604020202020204" pitchFamily="34" charset="0"/>
              <a:cs typeface="Arial" panose="020B0604020202020204" pitchFamily="34" charset="0"/>
            </a:rPr>
            <a:t>ANALYSIS</a:t>
          </a:r>
          <a:r>
            <a:rPr lang="en-US" sz="900" b="1" baseline="0">
              <a:latin typeface="Arial" panose="020B0604020202020204" pitchFamily="34" charset="0"/>
              <a:cs typeface="Arial" panose="020B0604020202020204" pitchFamily="34" charset="0"/>
            </a:rPr>
            <a:t> - </a:t>
          </a:r>
          <a:r>
            <a:rPr lang="en-US" sz="800" b="0" baseline="0">
              <a:latin typeface="Arial" panose="020B0604020202020204" pitchFamily="34" charset="0"/>
              <a:cs typeface="Arial" panose="020B0604020202020204" pitchFamily="34" charset="0"/>
            </a:rPr>
            <a:t>Sales by Product category</a:t>
          </a:r>
          <a:endParaRPr lang="en-US" sz="900" b="1" baseline="0">
            <a:latin typeface="Arial" panose="020B0604020202020204" pitchFamily="34" charset="0"/>
            <a:cs typeface="Arial" panose="020B0604020202020204" pitchFamily="34" charset="0"/>
          </a:endParaRPr>
        </a:p>
        <a:p>
          <a:pPr algn="l"/>
          <a:endParaRPr lang="en-US" sz="900" b="1" baseline="0">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OBSERVATIONS</a:t>
          </a:r>
        </a:p>
        <a:p>
          <a:pPr algn="l"/>
          <a:r>
            <a:rPr lang="en-US" sz="800" b="1">
              <a:latin typeface="Arial" panose="020B0604020202020204" pitchFamily="34" charset="0"/>
              <a:cs typeface="Arial" panose="020B0604020202020204" pitchFamily="34" charset="0"/>
            </a:rPr>
            <a:t>-</a:t>
          </a:r>
          <a:r>
            <a:rPr lang="en-US" sz="800" b="0">
              <a:latin typeface="Arial" panose="020B0604020202020204" pitchFamily="34" charset="0"/>
              <a:cs typeface="Arial" panose="020B0604020202020204" pitchFamily="34" charset="0"/>
            </a:rPr>
            <a:t>Beverage is the top performing product category of the year with $110,577.11 revenue </a:t>
          </a:r>
        </a:p>
        <a:p>
          <a:pPr algn="l"/>
          <a:r>
            <a:rPr lang="en-US" sz="800" b="0">
              <a:latin typeface="Arial" panose="020B0604020202020204" pitchFamily="34" charset="0"/>
              <a:cs typeface="Arial" panose="020B0604020202020204" pitchFamily="34" charset="0"/>
            </a:rPr>
            <a:t>- Top three category are beverage with $110,577.11 revenue, sauces with $69,000.00 revenue and Jams, preserves with $51,541.00 revenue generated</a:t>
          </a:r>
        </a:p>
        <a:p>
          <a:pPr algn="l"/>
          <a:r>
            <a:rPr lang="en-US" sz="800" b="0">
              <a:latin typeface="Arial" panose="020B0604020202020204" pitchFamily="34" charset="0"/>
              <a:cs typeface="Arial" panose="020B0604020202020204" pitchFamily="34" charset="0"/>
            </a:rPr>
            <a:t>-Diary,</a:t>
          </a:r>
          <a:r>
            <a:rPr lang="en-US" sz="800" b="0" baseline="0">
              <a:latin typeface="Arial" panose="020B0604020202020204" pitchFamily="34" charset="0"/>
              <a:cs typeface="Arial" panose="020B0604020202020204" pitchFamily="34" charset="0"/>
            </a:rPr>
            <a:t> Dried fruits and canned meal came in as the forth, fifth and sixed respectively with a total revenu of $86,594.70 </a:t>
          </a:r>
          <a:endParaRPr lang="en-US" sz="800" b="0">
            <a:latin typeface="Arial" panose="020B0604020202020204" pitchFamily="34" charset="0"/>
            <a:cs typeface="Arial" panose="020B0604020202020204" pitchFamily="34" charset="0"/>
          </a:endParaRPr>
        </a:p>
        <a:p>
          <a:pPr algn="l"/>
          <a:r>
            <a:rPr lang="en-US" sz="800" b="0">
              <a:latin typeface="Arial" panose="020B0604020202020204" pitchFamily="34" charset="0"/>
              <a:cs typeface="Arial" panose="020B0604020202020204" pitchFamily="34" charset="0"/>
            </a:rPr>
            <a:t>-Blanks were noticed around category area grossing about $30 after further investigation with the marketing team they arrived at datapoint being a shipping error</a:t>
          </a:r>
        </a:p>
        <a:p>
          <a:pPr algn="l"/>
          <a:endParaRPr lang="en-US" sz="800" b="1">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PRE-INSIGHT</a:t>
          </a:r>
        </a:p>
        <a:p>
          <a:pPr algn="l"/>
          <a:r>
            <a:rPr lang="en-US" sz="800" b="0">
              <a:latin typeface="Arial" panose="020B0604020202020204" pitchFamily="34" charset="0"/>
              <a:cs typeface="Arial" panose="020B0604020202020204" pitchFamily="34" charset="0"/>
            </a:rPr>
            <a:t>- Stock more beverrages to generate more revenue</a:t>
          </a:r>
        </a:p>
        <a:p>
          <a:pPr algn="l"/>
          <a:r>
            <a:rPr lang="en-US" sz="800" b="0">
              <a:latin typeface="Arial" panose="020B0604020202020204" pitchFamily="34" charset="0"/>
              <a:cs typeface="Arial" panose="020B0604020202020204" pitchFamily="34" charset="0"/>
            </a:rPr>
            <a:t>- investigate why canned meat record a lowest revenue and implement a good sales strategy to improve its revenue</a:t>
          </a:r>
        </a:p>
        <a:p>
          <a:pPr algn="l"/>
          <a:r>
            <a:rPr lang="en-US" sz="800" b="0">
              <a:latin typeface="Arial" panose="020B0604020202020204" pitchFamily="34" charset="0"/>
              <a:cs typeface="Arial" panose="020B0604020202020204" pitchFamily="34" charset="0"/>
            </a:rPr>
            <a:t>- it is recommended to stock more variety of sauce  and jams, preserve for customers to have more to choose from hence generating more revenue.</a:t>
          </a:r>
        </a:p>
        <a:p>
          <a:pPr algn="l"/>
          <a:endParaRPr lang="en-US" sz="800" b="0">
            <a:latin typeface="Arial" panose="020B0604020202020204" pitchFamily="34" charset="0"/>
            <a:cs typeface="Arial" panose="020B0604020202020204" pitchFamily="34" charset="0"/>
          </a:endParaRPr>
        </a:p>
      </xdr:txBody>
    </xdr:sp>
    <xdr:clientData/>
  </xdr:twoCellAnchor>
  <xdr:twoCellAnchor>
    <xdr:from>
      <xdr:col>7</xdr:col>
      <xdr:colOff>487680</xdr:colOff>
      <xdr:row>1</xdr:row>
      <xdr:rowOff>68580</xdr:rowOff>
    </xdr:from>
    <xdr:to>
      <xdr:col>15</xdr:col>
      <xdr:colOff>22860</xdr:colOff>
      <xdr:row>14</xdr:row>
      <xdr:rowOff>175260</xdr:rowOff>
    </xdr:to>
    <xdr:sp macro="" textlink="">
      <xdr:nvSpPr>
        <xdr:cNvPr id="5" name="Rounded Rectangle 4">
          <a:extLst>
            <a:ext uri="{FF2B5EF4-FFF2-40B4-BE49-F238E27FC236}">
              <a16:creationId xmlns:a16="http://schemas.microsoft.com/office/drawing/2014/main" id="{00000000-0008-0000-0C00-000005000000}"/>
            </a:ext>
          </a:extLst>
        </xdr:cNvPr>
        <xdr:cNvSpPr/>
      </xdr:nvSpPr>
      <xdr:spPr>
        <a:xfrm>
          <a:off x="4754880" y="251460"/>
          <a:ext cx="4411980" cy="2484120"/>
        </a:xfrm>
        <a:prstGeom prst="roundRect">
          <a:avLst/>
        </a:prstGeom>
        <a:solidFill>
          <a:schemeClr val="bg1"/>
        </a:solidFill>
        <a:ln w="3175">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5">
                  <a:lumMod val="50000"/>
                </a:schemeClr>
              </a:solidFill>
              <a:latin typeface="Arial" panose="020B0604020202020204" pitchFamily="34" charset="0"/>
              <a:cs typeface="Arial" panose="020B0604020202020204" pitchFamily="34" charset="0"/>
            </a:rPr>
            <a:t>ANALYSIS</a:t>
          </a:r>
          <a:r>
            <a:rPr lang="en-US" sz="900" b="1" baseline="0">
              <a:solidFill>
                <a:schemeClr val="accent5">
                  <a:lumMod val="50000"/>
                </a:schemeClr>
              </a:solidFill>
              <a:latin typeface="Arial" panose="020B0604020202020204" pitchFamily="34" charset="0"/>
              <a:cs typeface="Arial" panose="020B0604020202020204" pitchFamily="34" charset="0"/>
            </a:rPr>
            <a:t> - </a:t>
          </a:r>
          <a:r>
            <a:rPr lang="en-US" sz="800" b="1" baseline="0">
              <a:solidFill>
                <a:schemeClr val="accent5">
                  <a:lumMod val="50000"/>
                </a:schemeClr>
              </a:solidFill>
              <a:latin typeface="Arial" panose="020B0604020202020204" pitchFamily="34" charset="0"/>
              <a:cs typeface="Arial" panose="020B0604020202020204" pitchFamily="34" charset="0"/>
            </a:rPr>
            <a:t>Salesperon Performace</a:t>
          </a:r>
        </a:p>
        <a:p>
          <a:pPr algn="l"/>
          <a:endParaRPr lang="en-US" sz="800" b="1" baseline="0">
            <a:solidFill>
              <a:schemeClr val="accent5">
                <a:lumMod val="50000"/>
              </a:schemeClr>
            </a:solidFill>
            <a:latin typeface="Arial" panose="020B0604020202020204" pitchFamily="34" charset="0"/>
            <a:cs typeface="Arial" panose="020B0604020202020204" pitchFamily="34" charset="0"/>
          </a:endParaRPr>
        </a:p>
        <a:p>
          <a:pPr algn="l"/>
          <a:r>
            <a:rPr lang="en-US" sz="800" b="1" baseline="0">
              <a:solidFill>
                <a:schemeClr val="accent5">
                  <a:lumMod val="50000"/>
                </a:schemeClr>
              </a:solidFill>
              <a:latin typeface="Arial" panose="020B0604020202020204" pitchFamily="34" charset="0"/>
              <a:cs typeface="Arial" panose="020B0604020202020204" pitchFamily="34" charset="0"/>
            </a:rPr>
            <a:t>OBSERVATIONS</a:t>
          </a:r>
        </a:p>
        <a:p>
          <a:pPr algn="l"/>
          <a:r>
            <a:rPr lang="en-US" sz="800" b="1" baseline="0">
              <a:solidFill>
                <a:schemeClr val="accent5">
                  <a:lumMod val="50000"/>
                </a:schemeClr>
              </a:solidFill>
              <a:latin typeface="Arial" panose="020B0604020202020204" pitchFamily="34" charset="0"/>
              <a:cs typeface="Arial" panose="020B0604020202020204" pitchFamily="34" charset="0"/>
            </a:rPr>
            <a:t>-</a:t>
          </a:r>
          <a:r>
            <a:rPr lang="en-US" sz="800" b="0" baseline="0">
              <a:solidFill>
                <a:schemeClr val="accent5">
                  <a:lumMod val="50000"/>
                </a:schemeClr>
              </a:solidFill>
              <a:latin typeface="Arial" panose="020B0604020202020204" pitchFamily="34" charset="0"/>
              <a:cs typeface="Arial" panose="020B0604020202020204" pitchFamily="34" charset="0"/>
            </a:rPr>
            <a:t>Nancy is the best performing salesperson of the year with $104,252 revenue generated</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top three performances are Nancy with $104,252 revenue generated, Anne with $93,858 revenue generated and Andrwe with $67,181 revenue generated</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least performing salesperson of the year is Jan with revenue of $16,351 </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salesperson in the forth and fifth place which are Maria and Laura respectively doesn't have significance differences in the revenue they generated</a:t>
          </a:r>
        </a:p>
        <a:p>
          <a:pPr algn="l"/>
          <a:endParaRPr lang="en-US" sz="800" b="0" baseline="0">
            <a:solidFill>
              <a:schemeClr val="accent5">
                <a:lumMod val="50000"/>
              </a:schemeClr>
            </a:solidFill>
            <a:latin typeface="Arial" panose="020B0604020202020204" pitchFamily="34" charset="0"/>
            <a:cs typeface="Arial" panose="020B0604020202020204" pitchFamily="34" charset="0"/>
          </a:endParaRPr>
        </a:p>
        <a:p>
          <a:pPr algn="l"/>
          <a:r>
            <a:rPr lang="en-US" sz="800" b="1" baseline="0">
              <a:solidFill>
                <a:schemeClr val="accent5">
                  <a:lumMod val="50000"/>
                </a:schemeClr>
              </a:solidFill>
              <a:latin typeface="Arial" panose="020B0604020202020204" pitchFamily="34" charset="0"/>
              <a:cs typeface="Arial" panose="020B0604020202020204" pitchFamily="34" charset="0"/>
            </a:rPr>
            <a:t>PRE-INSIGHT</a:t>
          </a:r>
        </a:p>
        <a:p>
          <a:pPr algn="l"/>
          <a:r>
            <a:rPr lang="en-US" sz="800" b="1" baseline="0">
              <a:solidFill>
                <a:schemeClr val="accent5">
                  <a:lumMod val="50000"/>
                </a:schemeClr>
              </a:solidFill>
              <a:latin typeface="Arial" panose="020B0604020202020204" pitchFamily="34" charset="0"/>
              <a:cs typeface="Arial" panose="020B0604020202020204" pitchFamily="34" charset="0"/>
            </a:rPr>
            <a:t>-</a:t>
          </a:r>
          <a:r>
            <a:rPr lang="en-US" sz="800" b="0" baseline="0">
              <a:solidFill>
                <a:schemeClr val="accent5">
                  <a:lumMod val="50000"/>
                </a:schemeClr>
              </a:solidFill>
              <a:latin typeface="Arial" panose="020B0604020202020204" pitchFamily="34" charset="0"/>
              <a:cs typeface="Arial" panose="020B0604020202020204" pitchFamily="34" charset="0"/>
            </a:rPr>
            <a:t>Jan with the least revenue of $16,351 should be suspended for causing the firm loses</a:t>
          </a:r>
        </a:p>
        <a:p>
          <a:pPr algn="l"/>
          <a:r>
            <a:rPr lang="en-US" sz="800" b="0" baseline="0">
              <a:solidFill>
                <a:schemeClr val="accent5">
                  <a:lumMod val="50000"/>
                </a:schemeClr>
              </a:solidFill>
              <a:latin typeface="Arial" panose="020B0604020202020204" pitchFamily="34" charset="0"/>
              <a:cs typeface="Arial" panose="020B0604020202020204" pitchFamily="34" charset="0"/>
            </a:rPr>
            <a:t>-Jan should be recommended to take some courses on sells to improve his skills</a:t>
          </a:r>
          <a:endParaRPr lang="en-US" sz="800" b="1" baseline="0">
            <a:solidFill>
              <a:schemeClr val="accent5">
                <a:lumMod val="50000"/>
              </a:schemeClr>
            </a:solidFill>
            <a:latin typeface="Arial" panose="020B0604020202020204" pitchFamily="34" charset="0"/>
            <a:cs typeface="Arial" panose="020B0604020202020204" pitchFamily="34" charset="0"/>
          </a:endParaRPr>
        </a:p>
        <a:p>
          <a:pPr algn="l"/>
          <a:r>
            <a:rPr lang="en-US" sz="800" b="0" baseline="0">
              <a:solidFill>
                <a:schemeClr val="accent5">
                  <a:lumMod val="50000"/>
                </a:schemeClr>
              </a:solidFill>
              <a:latin typeface="Arial" panose="020B0604020202020204" pitchFamily="34" charset="0"/>
              <a:cs typeface="Arial" panose="020B0604020202020204" pitchFamily="34" charset="0"/>
            </a:rPr>
            <a:t>- The three best performing salespersons i.e., Nancy Freehafer, Anne Larsen and Andrew Cencini  may be consider for a pay raise or bonuses with respect to their revenue generated.</a:t>
          </a:r>
        </a:p>
        <a:p>
          <a:pPr algn="l"/>
          <a:endParaRPr lang="en-US" sz="800" b="1" baseline="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426720</xdr:colOff>
      <xdr:row>0</xdr:row>
      <xdr:rowOff>170330</xdr:rowOff>
    </xdr:from>
    <xdr:to>
      <xdr:col>29</xdr:col>
      <xdr:colOff>571500</xdr:colOff>
      <xdr:row>14</xdr:row>
      <xdr:rowOff>97716</xdr:rowOff>
    </xdr:to>
    <xdr:sp macro="" textlink="">
      <xdr:nvSpPr>
        <xdr:cNvPr id="6" name="Rounded Rectangle 5">
          <a:extLst>
            <a:ext uri="{FF2B5EF4-FFF2-40B4-BE49-F238E27FC236}">
              <a16:creationId xmlns:a16="http://schemas.microsoft.com/office/drawing/2014/main" id="{00000000-0008-0000-0C00-000006000000}"/>
            </a:ext>
          </a:extLst>
        </xdr:cNvPr>
        <xdr:cNvSpPr/>
      </xdr:nvSpPr>
      <xdr:spPr>
        <a:xfrm>
          <a:off x="13837920" y="170330"/>
          <a:ext cx="4411980" cy="2437504"/>
        </a:xfrm>
        <a:prstGeom prst="roundRect">
          <a:avLst/>
        </a:prstGeom>
        <a:solidFill>
          <a:sysClr val="window" lastClr="FFFFFF"/>
        </a:solidFill>
        <a:ln w="3175">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5">
                  <a:lumMod val="50000"/>
                </a:schemeClr>
              </a:solidFill>
              <a:latin typeface="Arial" panose="020B0604020202020204" pitchFamily="34" charset="0"/>
              <a:cs typeface="Arial" panose="020B0604020202020204" pitchFamily="34" charset="0"/>
            </a:rPr>
            <a:t>ANALYSIS</a:t>
          </a:r>
          <a:r>
            <a:rPr lang="en-US" sz="900" b="1" baseline="0">
              <a:solidFill>
                <a:schemeClr val="accent5">
                  <a:lumMod val="50000"/>
                </a:schemeClr>
              </a:solidFill>
              <a:latin typeface="Arial" panose="020B0604020202020204" pitchFamily="34" charset="0"/>
              <a:cs typeface="Arial" panose="020B0604020202020204" pitchFamily="34" charset="0"/>
            </a:rPr>
            <a:t> - </a:t>
          </a:r>
          <a:r>
            <a:rPr lang="en-US" sz="800" b="0" baseline="0">
              <a:solidFill>
                <a:schemeClr val="accent5">
                  <a:lumMod val="50000"/>
                </a:schemeClr>
              </a:solidFill>
              <a:latin typeface="Arial" panose="020B0604020202020204" pitchFamily="34" charset="0"/>
              <a:cs typeface="Arial" panose="020B0604020202020204" pitchFamily="34" charset="0"/>
            </a:rPr>
            <a:t>Performance by States</a:t>
          </a:r>
          <a:endParaRPr lang="en-US" sz="900" b="1" baseline="0">
            <a:solidFill>
              <a:schemeClr val="accent5">
                <a:lumMod val="50000"/>
              </a:schemeClr>
            </a:solidFill>
            <a:latin typeface="Arial" panose="020B0604020202020204" pitchFamily="34" charset="0"/>
            <a:cs typeface="Arial" panose="020B0604020202020204" pitchFamily="34" charset="0"/>
          </a:endParaRPr>
        </a:p>
        <a:p>
          <a:pPr algn="l"/>
          <a:endParaRPr lang="en-US" sz="800" b="1" baseline="0">
            <a:solidFill>
              <a:schemeClr val="accent5">
                <a:lumMod val="50000"/>
              </a:schemeClr>
            </a:solidFill>
            <a:latin typeface="Arial" panose="020B0604020202020204" pitchFamily="34" charset="0"/>
            <a:cs typeface="Arial" panose="020B0604020202020204" pitchFamily="34" charset="0"/>
          </a:endParaRPr>
        </a:p>
        <a:p>
          <a:pPr algn="l"/>
          <a:r>
            <a:rPr lang="en-US" sz="800" b="1" baseline="0">
              <a:solidFill>
                <a:schemeClr val="accent5">
                  <a:lumMod val="50000"/>
                </a:schemeClr>
              </a:solidFill>
              <a:latin typeface="Arial" panose="020B0604020202020204" pitchFamily="34" charset="0"/>
              <a:cs typeface="Arial" panose="020B0604020202020204" pitchFamily="34" charset="0"/>
            </a:rPr>
            <a:t>OBSERVATIONS</a:t>
          </a:r>
        </a:p>
        <a:p>
          <a:pPr algn="l"/>
          <a:r>
            <a:rPr lang="en-US" sz="800" b="1" baseline="0">
              <a:solidFill>
                <a:schemeClr val="accent5">
                  <a:lumMod val="50000"/>
                </a:schemeClr>
              </a:solidFill>
              <a:latin typeface="Arial" panose="020B0604020202020204" pitchFamily="34" charset="0"/>
              <a:cs typeface="Arial" panose="020B0604020202020204" pitchFamily="34" charset="0"/>
            </a:rPr>
            <a:t>-</a:t>
          </a:r>
          <a:r>
            <a:rPr lang="en-US" sz="800" b="0" baseline="0">
              <a:solidFill>
                <a:schemeClr val="accent5">
                  <a:lumMod val="50000"/>
                </a:schemeClr>
              </a:solidFill>
              <a:latin typeface="Arial" panose="020B0604020202020204" pitchFamily="34" charset="0"/>
              <a:cs typeface="Arial" panose="020B0604020202020204" pitchFamily="34" charset="0"/>
            </a:rPr>
            <a:t>Ney York has the highest sales grossing $67,180.50 </a:t>
          </a:r>
        </a:p>
        <a:p>
          <a:pPr algn="l"/>
          <a:r>
            <a:rPr lang="en-US" sz="800" b="0" baseline="0">
              <a:solidFill>
                <a:schemeClr val="accent5">
                  <a:lumMod val="50000"/>
                </a:schemeClr>
              </a:solidFill>
              <a:latin typeface="Arial" panose="020B0604020202020204" pitchFamily="34" charset="0"/>
              <a:cs typeface="Arial" panose="020B0604020202020204" pitchFamily="34" charset="0"/>
            </a:rPr>
            <a:t>-Nevada performed below per with revenue of $15,365.50</a:t>
          </a:r>
        </a:p>
        <a:p>
          <a:pPr algn="l"/>
          <a:endParaRPr lang="en-US" sz="800" b="0" baseline="0">
            <a:solidFill>
              <a:schemeClr val="accent5">
                <a:lumMod val="50000"/>
              </a:schemeClr>
            </a:solidFill>
            <a:latin typeface="Arial" panose="020B0604020202020204" pitchFamily="34" charset="0"/>
            <a:cs typeface="Arial" panose="020B0604020202020204" pitchFamily="34" charset="0"/>
          </a:endParaRPr>
        </a:p>
        <a:p>
          <a:pPr algn="l"/>
          <a:r>
            <a:rPr lang="en-US" sz="800" b="1" baseline="0">
              <a:solidFill>
                <a:schemeClr val="accent5">
                  <a:lumMod val="50000"/>
                </a:schemeClr>
              </a:solidFill>
              <a:latin typeface="Arial" panose="020B0604020202020204" pitchFamily="34" charset="0"/>
              <a:cs typeface="Arial" panose="020B0604020202020204" pitchFamily="34" charset="0"/>
            </a:rPr>
            <a:t>PRE-INSIGHT</a:t>
          </a:r>
        </a:p>
        <a:p>
          <a:pPr algn="l"/>
          <a:r>
            <a:rPr lang="en-US" sz="800" b="1" baseline="0">
              <a:solidFill>
                <a:schemeClr val="accent5">
                  <a:lumMod val="50000"/>
                </a:schemeClr>
              </a:solidFill>
              <a:latin typeface="Arial" panose="020B0604020202020204" pitchFamily="34" charset="0"/>
              <a:cs typeface="Arial" panose="020B0604020202020204" pitchFamily="34" charset="0"/>
            </a:rPr>
            <a:t>-</a:t>
          </a:r>
          <a:r>
            <a:rPr lang="en-US" sz="800" b="0" baseline="0">
              <a:solidFill>
                <a:schemeClr val="accent5">
                  <a:lumMod val="50000"/>
                </a:schemeClr>
              </a:solidFill>
              <a:latin typeface="Arial" panose="020B0604020202020204" pitchFamily="34" charset="0"/>
              <a:cs typeface="Arial" panose="020B0604020202020204" pitchFamily="34" charset="0"/>
            </a:rPr>
            <a:t>.The firm can explore moving mojor persons to Nevada to improve it sales</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methodology used in New York should be introduced in Nevada</a:t>
          </a:r>
        </a:p>
        <a:p>
          <a:pPr algn="l"/>
          <a:r>
            <a:rPr lang="en-US" sz="800" b="0" baseline="0">
              <a:solidFill>
                <a:schemeClr val="accent5">
                  <a:lumMod val="50000"/>
                </a:schemeClr>
              </a:solidFill>
              <a:latin typeface="Arial" panose="020B0604020202020204" pitchFamily="34" charset="0"/>
              <a:cs typeface="Arial" panose="020B0604020202020204" pitchFamily="34" charset="0"/>
            </a:rPr>
            <a:t>-more goods should be shipped into New York to generate more revenue since the firm there is performing well</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best selling products in nevada shouldn't be left out of stock since customers prefer such goods, it should always be available for purchase</a:t>
          </a:r>
        </a:p>
        <a:p>
          <a:pPr algn="l"/>
          <a:r>
            <a:rPr lang="en-US" sz="800" b="0" baseline="0">
              <a:solidFill>
                <a:schemeClr val="accent5">
                  <a:lumMod val="50000"/>
                </a:schemeClr>
              </a:solidFill>
              <a:latin typeface="Arial" panose="020B0604020202020204" pitchFamily="34" charset="0"/>
              <a:cs typeface="Arial" panose="020B0604020202020204" pitchFamily="34" charset="0"/>
            </a:rPr>
            <a:t>-The firm can regularly track sales in Ney York and Nevada to know the different price range and also to study customer loyalty in each state to determine the reason behind the diffence in the revenue being generated by each state</a:t>
          </a:r>
        </a:p>
      </xdr:txBody>
    </xdr:sp>
    <xdr:clientData/>
  </xdr:twoCellAnchor>
  <xdr:twoCellAnchor>
    <xdr:from>
      <xdr:col>15</xdr:col>
      <xdr:colOff>175260</xdr:colOff>
      <xdr:row>15</xdr:row>
      <xdr:rowOff>7620</xdr:rowOff>
    </xdr:from>
    <xdr:to>
      <xdr:col>22</xdr:col>
      <xdr:colOff>320040</xdr:colOff>
      <xdr:row>28</xdr:row>
      <xdr:rowOff>114300</xdr:rowOff>
    </xdr:to>
    <xdr:sp macro="" textlink="">
      <xdr:nvSpPr>
        <xdr:cNvPr id="7" name="Rounded Rectangle 6">
          <a:extLst>
            <a:ext uri="{FF2B5EF4-FFF2-40B4-BE49-F238E27FC236}">
              <a16:creationId xmlns:a16="http://schemas.microsoft.com/office/drawing/2014/main" id="{00000000-0008-0000-0C00-000007000000}"/>
            </a:ext>
          </a:extLst>
        </xdr:cNvPr>
        <xdr:cNvSpPr/>
      </xdr:nvSpPr>
      <xdr:spPr>
        <a:xfrm>
          <a:off x="9319260" y="2750820"/>
          <a:ext cx="4411980" cy="2484120"/>
        </a:xfrm>
        <a:prstGeom prst="roundRect">
          <a:avLst/>
        </a:prstGeom>
        <a:solidFill>
          <a:sysClr val="window" lastClr="FFFFFF"/>
        </a:solidFill>
        <a:ln w="3175">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5">
                  <a:lumMod val="50000"/>
                </a:schemeClr>
              </a:solidFill>
              <a:latin typeface="Arial" panose="020B0604020202020204" pitchFamily="34" charset="0"/>
              <a:cs typeface="Arial" panose="020B0604020202020204" pitchFamily="34" charset="0"/>
            </a:rPr>
            <a:t>ANALYSIS</a:t>
          </a:r>
          <a:r>
            <a:rPr lang="en-US" sz="900" b="1" baseline="0">
              <a:solidFill>
                <a:schemeClr val="accent5">
                  <a:lumMod val="50000"/>
                </a:schemeClr>
              </a:solidFill>
              <a:latin typeface="Arial" panose="020B0604020202020204" pitchFamily="34" charset="0"/>
              <a:cs typeface="Arial" panose="020B0604020202020204" pitchFamily="34" charset="0"/>
            </a:rPr>
            <a:t> - </a:t>
          </a:r>
          <a:r>
            <a:rPr lang="en-US" sz="800" b="0" baseline="0">
              <a:solidFill>
                <a:schemeClr val="accent5">
                  <a:lumMod val="50000"/>
                </a:schemeClr>
              </a:solidFill>
              <a:latin typeface="Arial" panose="020B0604020202020204" pitchFamily="34" charset="0"/>
              <a:cs typeface="Arial" panose="020B0604020202020204" pitchFamily="34" charset="0"/>
            </a:rPr>
            <a:t>Transaction by Amount</a:t>
          </a:r>
          <a:endParaRPr lang="en-US" sz="900" b="1" baseline="0">
            <a:solidFill>
              <a:schemeClr val="accent5">
                <a:lumMod val="50000"/>
              </a:schemeClr>
            </a:solidFill>
            <a:latin typeface="Arial" panose="020B0604020202020204" pitchFamily="34" charset="0"/>
            <a:cs typeface="Arial" panose="020B0604020202020204" pitchFamily="34" charset="0"/>
          </a:endParaRPr>
        </a:p>
        <a:p>
          <a:pPr algn="l"/>
          <a:endParaRPr lang="en-US" sz="800" b="1" baseline="0">
            <a:solidFill>
              <a:schemeClr val="accent5">
                <a:lumMod val="50000"/>
              </a:schemeClr>
            </a:solidFill>
            <a:latin typeface="Arial" panose="020B0604020202020204" pitchFamily="34" charset="0"/>
            <a:cs typeface="Arial" panose="020B0604020202020204" pitchFamily="34" charset="0"/>
          </a:endParaRPr>
        </a:p>
        <a:p>
          <a:pPr algn="l"/>
          <a:r>
            <a:rPr lang="en-US" sz="800" b="1" baseline="0">
              <a:solidFill>
                <a:schemeClr val="accent5">
                  <a:lumMod val="50000"/>
                </a:schemeClr>
              </a:solidFill>
              <a:latin typeface="Arial" panose="020B0604020202020204" pitchFamily="34" charset="0"/>
              <a:cs typeface="Arial" panose="020B0604020202020204" pitchFamily="34" charset="0"/>
            </a:rPr>
            <a:t>OBSERVATIONS</a:t>
          </a:r>
        </a:p>
        <a:p>
          <a:pPr algn="l"/>
          <a:r>
            <a:rPr lang="en-US" sz="800" b="0" baseline="0">
              <a:solidFill>
                <a:schemeClr val="accent5">
                  <a:lumMod val="50000"/>
                </a:schemeClr>
              </a:solidFill>
              <a:latin typeface="Arial" panose="020B0604020202020204" pitchFamily="34" charset="0"/>
              <a:cs typeface="Arial" panose="020B0604020202020204" pitchFamily="34" charset="0"/>
            </a:rPr>
            <a:t>- Product with revenue of $0 - $1000 has the highest count of 218 sales</a:t>
          </a:r>
        </a:p>
        <a:p>
          <a:pPr algn="l"/>
          <a:r>
            <a:rPr lang="en-US" sz="800" b="0" baseline="0">
              <a:solidFill>
                <a:schemeClr val="accent5">
                  <a:lumMod val="50000"/>
                </a:schemeClr>
              </a:solidFill>
              <a:latin typeface="Arial" panose="020B0604020202020204" pitchFamily="34" charset="0"/>
              <a:cs typeface="Arial" panose="020B0604020202020204" pitchFamily="34" charset="0"/>
            </a:rPr>
            <a:t>- The least count is 1 which is product within the range of $7000 - $8000 revenue</a:t>
          </a:r>
        </a:p>
        <a:p>
          <a:pPr algn="l"/>
          <a:r>
            <a:rPr lang="en-US" sz="800" b="0" baseline="0">
              <a:solidFill>
                <a:schemeClr val="accent5">
                  <a:lumMod val="50000"/>
                </a:schemeClr>
              </a:solidFill>
              <a:latin typeface="Arial" panose="020B0604020202020204" pitchFamily="34" charset="0"/>
              <a:cs typeface="Arial" panose="020B0604020202020204" pitchFamily="34" charset="0"/>
            </a:rPr>
            <a:t>- Amount between $1000 to $2000 has the second largest count of 85 transactions</a:t>
          </a:r>
        </a:p>
        <a:p>
          <a:pPr algn="l"/>
          <a:r>
            <a:rPr lang="en-US" sz="800" b="0" baseline="0">
              <a:solidFill>
                <a:schemeClr val="accent5">
                  <a:lumMod val="50000"/>
                </a:schemeClr>
              </a:solidFill>
              <a:latin typeface="Arial" panose="020B0604020202020204" pitchFamily="34" charset="0"/>
              <a:cs typeface="Arial" panose="020B0604020202020204" pitchFamily="34" charset="0"/>
            </a:rPr>
            <a:t>- The third largest count of transaction is 31 with amount ranging from $2000 - $3000</a:t>
          </a:r>
        </a:p>
        <a:p>
          <a:pPr algn="l"/>
          <a:r>
            <a:rPr lang="en-US" sz="800" b="0" baseline="0">
              <a:solidFill>
                <a:schemeClr val="accent5">
                  <a:lumMod val="50000"/>
                </a:schemeClr>
              </a:solidFill>
              <a:latin typeface="Arial" panose="020B0604020202020204" pitchFamily="34" charset="0"/>
              <a:cs typeface="Arial" panose="020B0604020202020204" pitchFamily="34" charset="0"/>
            </a:rPr>
            <a:t>- Amount with $3000 - $4000 has a transaction count of 24</a:t>
          </a:r>
        </a:p>
        <a:p>
          <a:pPr algn="l"/>
          <a:r>
            <a:rPr lang="en-US" sz="800" b="0" baseline="0">
              <a:solidFill>
                <a:schemeClr val="accent5">
                  <a:lumMod val="50000"/>
                </a:schemeClr>
              </a:solidFill>
              <a:latin typeface="Arial" panose="020B0604020202020204" pitchFamily="34" charset="0"/>
              <a:cs typeface="Arial" panose="020B0604020202020204" pitchFamily="34" charset="0"/>
            </a:rPr>
            <a:t>- Amount within $4000 - $5000 has 8 count of transactions</a:t>
          </a:r>
        </a:p>
        <a:p>
          <a:pPr algn="l"/>
          <a:r>
            <a:rPr lang="en-US" sz="800" b="0" baseline="0">
              <a:solidFill>
                <a:schemeClr val="accent5">
                  <a:lumMod val="50000"/>
                </a:schemeClr>
              </a:solidFill>
              <a:latin typeface="Arial" panose="020B0604020202020204" pitchFamily="34" charset="0"/>
              <a:cs typeface="Arial" panose="020B0604020202020204" pitchFamily="34" charset="0"/>
            </a:rPr>
            <a:t>- The secound lowest count of transaction is 2 with amount within $6000 - $7000</a:t>
          </a:r>
        </a:p>
        <a:p>
          <a:pPr algn="l"/>
          <a:r>
            <a:rPr lang="en-US" sz="800" b="0" baseline="0">
              <a:solidFill>
                <a:schemeClr val="accent5">
                  <a:lumMod val="50000"/>
                </a:schemeClr>
              </a:solidFill>
              <a:latin typeface="Arial" panose="020B0604020202020204" pitchFamily="34" charset="0"/>
              <a:cs typeface="Arial" panose="020B0604020202020204" pitchFamily="34" charset="0"/>
            </a:rPr>
            <a:t>- I noticed there is no count within $5000 to $6000 and after going back to observe the dataset i discovered there was no product selling at that range hence, no count.</a:t>
          </a:r>
        </a:p>
        <a:p>
          <a:pPr algn="l"/>
          <a:endParaRPr lang="en-US" sz="800" b="0" baseline="0">
            <a:solidFill>
              <a:schemeClr val="accent5">
                <a:lumMod val="50000"/>
              </a:schemeClr>
            </a:solidFill>
            <a:latin typeface="Arial" panose="020B0604020202020204" pitchFamily="34" charset="0"/>
            <a:cs typeface="Arial" panose="020B0604020202020204" pitchFamily="34" charset="0"/>
          </a:endParaRPr>
        </a:p>
        <a:p>
          <a:pPr algn="l"/>
          <a:r>
            <a:rPr lang="en-US" sz="800" b="1" baseline="0">
              <a:solidFill>
                <a:schemeClr val="accent5">
                  <a:lumMod val="50000"/>
                </a:schemeClr>
              </a:solidFill>
              <a:latin typeface="Arial" panose="020B0604020202020204" pitchFamily="34" charset="0"/>
              <a:cs typeface="Arial" panose="020B0604020202020204" pitchFamily="34" charset="0"/>
            </a:rPr>
            <a:t>PRE-INSIGHT</a:t>
          </a:r>
        </a:p>
        <a:p>
          <a:pPr algn="l"/>
          <a:r>
            <a:rPr lang="en-US" sz="800" b="0" baseline="0">
              <a:solidFill>
                <a:schemeClr val="accent5">
                  <a:lumMod val="50000"/>
                </a:schemeClr>
              </a:solidFill>
              <a:latin typeface="Arial" panose="020B0604020202020204" pitchFamily="34" charset="0"/>
              <a:cs typeface="Arial" panose="020B0604020202020204" pitchFamily="34" charset="0"/>
            </a:rPr>
            <a:t>- Consider implementing a special program to cut down prices of products with $6000 - $7000 and $7000 - $8000 to encourage customers to purchase more product within these range.</a:t>
          </a:r>
        </a:p>
        <a:p>
          <a:pPr algn="l"/>
          <a:r>
            <a:rPr lang="en-US" sz="800" b="0" baseline="0">
              <a:solidFill>
                <a:schemeClr val="accent5">
                  <a:lumMod val="50000"/>
                </a:schemeClr>
              </a:solidFill>
              <a:latin typeface="Arial" panose="020B0604020202020204" pitchFamily="34" charset="0"/>
              <a:cs typeface="Arial" panose="020B0604020202020204" pitchFamily="34" charset="0"/>
            </a:rPr>
            <a:t>- Stock more variety of product category (e.g beverages) within $0 - $1000 for more sales</a:t>
          </a:r>
        </a:p>
        <a:p>
          <a:pPr algn="l"/>
          <a:r>
            <a:rPr lang="en-US" sz="800" b="0" baseline="0">
              <a:solidFill>
                <a:schemeClr val="accent5">
                  <a:lumMod val="50000"/>
                </a:schemeClr>
              </a:solidFill>
              <a:latin typeface="Arial" panose="020B0604020202020204" pitchFamily="34" charset="0"/>
              <a:cs typeface="Arial" panose="020B0604020202020204" pitchFamily="34" charset="0"/>
            </a:rPr>
            <a:t>- More products is recommended for category of second and third counts i.e. 85, 31 to improve transaction.</a:t>
          </a:r>
        </a:p>
        <a:p>
          <a:pPr algn="l"/>
          <a:r>
            <a:rPr lang="en-US" sz="800" b="0" baseline="0">
              <a:solidFill>
                <a:schemeClr val="accent5">
                  <a:lumMod val="50000"/>
                </a:schemeClr>
              </a:solidFill>
              <a:latin typeface="Arial" panose="020B0604020202020204" pitchFamily="34" charset="0"/>
              <a:cs typeface="Arial" panose="020B0604020202020204" pitchFamily="34" charset="0"/>
            </a:rPr>
            <a:t>- Price reduction is also recommended for products under the count of 31, 24 and 8 transactions.</a:t>
          </a:r>
        </a:p>
        <a:p>
          <a:pPr algn="l"/>
          <a:endParaRPr lang="en-US" sz="800" b="1" baseline="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434340</xdr:colOff>
      <xdr:row>14</xdr:row>
      <xdr:rowOff>175260</xdr:rowOff>
    </xdr:from>
    <xdr:to>
      <xdr:col>29</xdr:col>
      <xdr:colOff>571500</xdr:colOff>
      <xdr:row>28</xdr:row>
      <xdr:rowOff>99060</xdr:rowOff>
    </xdr:to>
    <xdr:sp macro="" textlink="">
      <xdr:nvSpPr>
        <xdr:cNvPr id="8" name="Rounded Rectangle 7">
          <a:extLst>
            <a:ext uri="{FF2B5EF4-FFF2-40B4-BE49-F238E27FC236}">
              <a16:creationId xmlns:a16="http://schemas.microsoft.com/office/drawing/2014/main" id="{00000000-0008-0000-0C00-000008000000}"/>
            </a:ext>
          </a:extLst>
        </xdr:cNvPr>
        <xdr:cNvSpPr/>
      </xdr:nvSpPr>
      <xdr:spPr>
        <a:xfrm>
          <a:off x="13845540" y="2735580"/>
          <a:ext cx="4404360" cy="2484120"/>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latin typeface="Arial" panose="020B0604020202020204" pitchFamily="34" charset="0"/>
              <a:cs typeface="Arial" panose="020B0604020202020204" pitchFamily="34" charset="0"/>
            </a:rPr>
            <a:t>ANALYSIS</a:t>
          </a:r>
          <a:r>
            <a:rPr lang="en-US" sz="900" b="1" baseline="0">
              <a:latin typeface="Arial" panose="020B0604020202020204" pitchFamily="34" charset="0"/>
              <a:cs typeface="Arial" panose="020B0604020202020204" pitchFamily="34" charset="0"/>
            </a:rPr>
            <a:t> -</a:t>
          </a:r>
          <a:r>
            <a:rPr lang="en-US" sz="800" b="0" baseline="0">
              <a:latin typeface="Arial" panose="020B0604020202020204" pitchFamily="34" charset="0"/>
              <a:cs typeface="Arial" panose="020B0604020202020204" pitchFamily="34" charset="0"/>
            </a:rPr>
            <a:t> Top 6 Ship Cities by Revenue</a:t>
          </a:r>
          <a:endParaRPr lang="en-US" sz="900" b="1" baseline="0">
            <a:latin typeface="Arial" panose="020B0604020202020204" pitchFamily="34" charset="0"/>
            <a:cs typeface="Arial" panose="020B0604020202020204" pitchFamily="34" charset="0"/>
          </a:endParaRPr>
        </a:p>
        <a:p>
          <a:pPr algn="l"/>
          <a:endParaRPr lang="en-US" sz="900" b="1" baseline="0">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OBSERVATIONS</a:t>
          </a:r>
        </a:p>
        <a:p>
          <a:pPr algn="l"/>
          <a:r>
            <a:rPr lang="en-US" sz="800" b="0">
              <a:latin typeface="Arial" panose="020B0604020202020204" pitchFamily="34" charset="0"/>
              <a:cs typeface="Arial" panose="020B0604020202020204" pitchFamily="34" charset="0"/>
            </a:rPr>
            <a:t>- The</a:t>
          </a:r>
          <a:r>
            <a:rPr lang="en-US" sz="800" b="0" baseline="0">
              <a:latin typeface="Arial" panose="020B0604020202020204" pitchFamily="34" charset="0"/>
              <a:cs typeface="Arial" panose="020B0604020202020204" pitchFamily="34" charset="0"/>
            </a:rPr>
            <a:t> top 6 ship cities are New York with  $67,180.50 revenue, Portland with $50,208.35 revenue, Miami with  $50,145.33 revenue, Memphis with  $43,713.00 revenue, Chicago with  $41,095.01 revenue and Milkwaukee with  $37,428.00 revenue generated</a:t>
          </a:r>
        </a:p>
        <a:p>
          <a:pPr algn="l"/>
          <a:r>
            <a:rPr lang="en-US" sz="800" b="0" baseline="0">
              <a:latin typeface="Arial" panose="020B0604020202020204" pitchFamily="34" charset="0"/>
              <a:cs typeface="Arial" panose="020B0604020202020204" pitchFamily="34" charset="0"/>
            </a:rPr>
            <a:t>-New York topped the chart with the revenue of $67,180.50</a:t>
          </a:r>
        </a:p>
        <a:p>
          <a:pPr algn="l"/>
          <a:r>
            <a:rPr lang="en-US" sz="800" b="0" baseline="0">
              <a:latin typeface="Arial" panose="020B0604020202020204" pitchFamily="34" charset="0"/>
              <a:cs typeface="Arial" panose="020B0604020202020204" pitchFamily="34" charset="0"/>
            </a:rPr>
            <a:t>-Milkwaukee is the least in the top 6 with revenue generation of $37,428.00</a:t>
          </a:r>
        </a:p>
        <a:p>
          <a:pPr algn="l"/>
          <a:r>
            <a:rPr lang="en-US" sz="800" b="0" baseline="0">
              <a:latin typeface="Arial" panose="020B0604020202020204" pitchFamily="34" charset="0"/>
              <a:cs typeface="Arial" panose="020B0604020202020204" pitchFamily="34" charset="0"/>
            </a:rPr>
            <a:t>-There are not much difference between Portland and Miami in the revenue generation wih not up to $600 difference between the two</a:t>
          </a:r>
        </a:p>
        <a:p>
          <a:pPr algn="l"/>
          <a:endParaRPr lang="en-US" sz="800" b="0">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PRE-INSIGHT</a:t>
          </a:r>
        </a:p>
        <a:p>
          <a:pPr algn="l"/>
          <a:r>
            <a:rPr lang="en-US" sz="800" b="0">
              <a:latin typeface="Arial" panose="020B0604020202020204" pitchFamily="34" charset="0"/>
              <a:cs typeface="Arial" panose="020B0604020202020204" pitchFamily="34" charset="0"/>
            </a:rPr>
            <a:t>-New York appeared to be the best city,</a:t>
          </a:r>
          <a:r>
            <a:rPr lang="en-US" sz="800" b="0" baseline="0">
              <a:latin typeface="Arial" panose="020B0604020202020204" pitchFamily="34" charset="0"/>
              <a:cs typeface="Arial" panose="020B0604020202020204" pitchFamily="34" charset="0"/>
            </a:rPr>
            <a:t> hence more products should be shipped to the city thet will increase more revenue to the shipmen </a:t>
          </a:r>
        </a:p>
        <a:p>
          <a:pPr algn="l"/>
          <a:r>
            <a:rPr lang="en-US" sz="800" b="0" baseline="0">
              <a:latin typeface="Arial" panose="020B0604020202020204" pitchFamily="34" charset="0"/>
              <a:cs typeface="Arial" panose="020B0604020202020204" pitchFamily="34" charset="0"/>
            </a:rPr>
            <a:t>-The company may create another branch in New York to ship products into the city, that will bring customer certisfaction and hence generate more revenue</a:t>
          </a:r>
        </a:p>
        <a:p>
          <a:pPr algn="l"/>
          <a:r>
            <a:rPr lang="en-US" sz="800" b="0" baseline="0">
              <a:latin typeface="Arial" panose="020B0604020202020204" pitchFamily="34" charset="0"/>
              <a:cs typeface="Arial" panose="020B0604020202020204" pitchFamily="34" charset="0"/>
            </a:rPr>
            <a:t>-The goods that are shipped to New York should be shipped to the cities with less performance to generate more reveue to the firm</a:t>
          </a:r>
          <a:endParaRPr lang="en-US" sz="800" b="0">
            <a:latin typeface="Arial" panose="020B0604020202020204" pitchFamily="34" charset="0"/>
            <a:cs typeface="Arial" panose="020B0604020202020204" pitchFamily="34" charset="0"/>
          </a:endParaRPr>
        </a:p>
      </xdr:txBody>
    </xdr:sp>
    <xdr:clientData/>
  </xdr:twoCellAnchor>
  <xdr:twoCellAnchor>
    <xdr:from>
      <xdr:col>15</xdr:col>
      <xdr:colOff>175260</xdr:colOff>
      <xdr:row>1</xdr:row>
      <xdr:rowOff>7620</xdr:rowOff>
    </xdr:from>
    <xdr:to>
      <xdr:col>22</xdr:col>
      <xdr:colOff>312420</xdr:colOff>
      <xdr:row>14</xdr:row>
      <xdr:rowOff>114300</xdr:rowOff>
    </xdr:to>
    <xdr:sp macro="" textlink="">
      <xdr:nvSpPr>
        <xdr:cNvPr id="9" name="Rounded Rectangle 8">
          <a:extLst>
            <a:ext uri="{FF2B5EF4-FFF2-40B4-BE49-F238E27FC236}">
              <a16:creationId xmlns:a16="http://schemas.microsoft.com/office/drawing/2014/main" id="{00000000-0008-0000-0C00-000009000000}"/>
            </a:ext>
          </a:extLst>
        </xdr:cNvPr>
        <xdr:cNvSpPr/>
      </xdr:nvSpPr>
      <xdr:spPr>
        <a:xfrm>
          <a:off x="9319260" y="190500"/>
          <a:ext cx="4404360" cy="2484120"/>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latin typeface="Arial" panose="020B0604020202020204" pitchFamily="34" charset="0"/>
              <a:cs typeface="Arial" panose="020B0604020202020204" pitchFamily="34" charset="0"/>
            </a:rPr>
            <a:t>ANALYSIS</a:t>
          </a:r>
          <a:r>
            <a:rPr lang="en-US" sz="900" b="1" baseline="0">
              <a:latin typeface="Arial" panose="020B0604020202020204" pitchFamily="34" charset="0"/>
              <a:cs typeface="Arial" panose="020B0604020202020204" pitchFamily="34" charset="0"/>
            </a:rPr>
            <a:t> - </a:t>
          </a:r>
          <a:r>
            <a:rPr lang="en-US" sz="800" b="0" baseline="0">
              <a:latin typeface="Arial" panose="020B0604020202020204" pitchFamily="34" charset="0"/>
              <a:cs typeface="Arial" panose="020B0604020202020204" pitchFamily="34" charset="0"/>
            </a:rPr>
            <a:t>Sales Trend Report</a:t>
          </a:r>
          <a:endParaRPr lang="en-US" sz="900" b="1" baseline="0">
            <a:latin typeface="Arial" panose="020B0604020202020204" pitchFamily="34" charset="0"/>
            <a:cs typeface="Arial" panose="020B0604020202020204" pitchFamily="34" charset="0"/>
          </a:endParaRPr>
        </a:p>
        <a:p>
          <a:pPr algn="l"/>
          <a:endParaRPr lang="en-US" sz="900" b="1" baseline="0">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OBSERVATIONS</a:t>
          </a:r>
        </a:p>
        <a:p>
          <a:pPr algn="l"/>
          <a:r>
            <a:rPr lang="en-US" sz="800" b="0">
              <a:latin typeface="Arial" panose="020B0604020202020204" pitchFamily="34" charset="0"/>
              <a:cs typeface="Arial" panose="020B0604020202020204" pitchFamily="34" charset="0"/>
            </a:rPr>
            <a:t>- The month of December saw the sharpest spike of sales revenue of $66,642.78 generated for the year.</a:t>
          </a:r>
        </a:p>
        <a:p>
          <a:pPr algn="l"/>
          <a:r>
            <a:rPr lang="en-US" sz="800" b="0">
              <a:latin typeface="Arial" panose="020B0604020202020204" pitchFamily="34" charset="0"/>
              <a:cs typeface="Arial" panose="020B0604020202020204" pitchFamily="34" charset="0"/>
            </a:rPr>
            <a:t>- The least performing month of the year is febraury with $19,985.50 revenue generated.</a:t>
          </a:r>
        </a:p>
        <a:p>
          <a:pPr algn="l"/>
          <a:r>
            <a:rPr lang="en-US" sz="800" b="0">
              <a:latin typeface="Arial" panose="020B0604020202020204" pitchFamily="34" charset="0"/>
              <a:cs typeface="Arial" panose="020B0604020202020204" pitchFamily="34" charset="0"/>
            </a:rPr>
            <a:t>- The month of July to September saw a gentle but steady increase in revenue from $27,318.54 to $34,949.97 respectively.</a:t>
          </a:r>
        </a:p>
        <a:p>
          <a:pPr algn="l"/>
          <a:r>
            <a:rPr lang="en-US" sz="800" b="0">
              <a:latin typeface="Arial" panose="020B0604020202020204" pitchFamily="34" charset="0"/>
              <a:cs typeface="Arial" panose="020B0604020202020204" pitchFamily="34" charset="0"/>
            </a:rPr>
            <a:t>- The month of July with $27,318.54 revenue saw a steep downturn from a peak in June with $55,601.61 revenue.</a:t>
          </a:r>
        </a:p>
        <a:p>
          <a:pPr algn="l"/>
          <a:r>
            <a:rPr lang="en-US" sz="800" b="0">
              <a:latin typeface="Arial" panose="020B0604020202020204" pitchFamily="34" charset="0"/>
              <a:cs typeface="Arial" panose="020B0604020202020204" pitchFamily="34" charset="0"/>
            </a:rPr>
            <a:t>- The month of June saw a sharp increase of $55,601.61 in revenue generated from April and May with revenue of $20,771.79 and $34,307.05 respectively.</a:t>
          </a:r>
        </a:p>
        <a:p>
          <a:pPr algn="l"/>
          <a:r>
            <a:rPr lang="en-US" sz="800" b="0">
              <a:latin typeface="Arial" panose="020B0604020202020204" pitchFamily="34" charset="0"/>
              <a:cs typeface="Arial" panose="020B0604020202020204" pitchFamily="34" charset="0"/>
            </a:rPr>
            <a:t>- The overall momentum for the year is bullish irrespective of the pullbacks. </a:t>
          </a:r>
          <a:endParaRPr lang="en-US" sz="800" b="1">
            <a:latin typeface="Arial" panose="020B0604020202020204" pitchFamily="34" charset="0"/>
            <a:cs typeface="Arial" panose="020B0604020202020204" pitchFamily="34" charset="0"/>
          </a:endParaRPr>
        </a:p>
        <a:p>
          <a:pPr algn="l"/>
          <a:endParaRPr lang="en-US" sz="800" b="1">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PRE-INSIGHT</a:t>
          </a:r>
        </a:p>
        <a:p>
          <a:pPr algn="l"/>
          <a:r>
            <a:rPr lang="en-US" sz="800" b="0">
              <a:latin typeface="Arial" panose="020B0604020202020204" pitchFamily="34" charset="0"/>
              <a:cs typeface="Arial" panose="020B0604020202020204" pitchFamily="34" charset="0"/>
            </a:rPr>
            <a:t>- Sales audit is recommended for the month of Febraury to know why revenue generated is low. </a:t>
          </a:r>
        </a:p>
        <a:p>
          <a:pPr algn="l"/>
          <a:r>
            <a:rPr lang="en-US" sz="800" b="0">
              <a:latin typeface="Arial" panose="020B0604020202020204" pitchFamily="34" charset="0"/>
              <a:cs typeface="Arial" panose="020B0604020202020204" pitchFamily="34" charset="0"/>
            </a:rPr>
            <a:t>- investigate the factors contributing to the sharp peak of sales revenue in June, October and December and implement the strategies for future sales.</a:t>
          </a:r>
        </a:p>
        <a:p>
          <a:pPr algn="l"/>
          <a:r>
            <a:rPr lang="en-US" sz="800" b="0">
              <a:latin typeface="Arial" panose="020B0604020202020204" pitchFamily="34" charset="0"/>
              <a:cs typeface="Arial" panose="020B0604020202020204" pitchFamily="34" charset="0"/>
            </a:rPr>
            <a:t>- Analyze why there is a sharp decline in renenue in the month of July from a peak in June.</a:t>
          </a:r>
        </a:p>
        <a:p>
          <a:pPr algn="l"/>
          <a:endParaRPr lang="en-US" sz="800" b="0">
            <a:latin typeface="Arial" panose="020B0604020202020204" pitchFamily="34" charset="0"/>
            <a:cs typeface="Arial" panose="020B0604020202020204" pitchFamily="34" charset="0"/>
          </a:endParaRPr>
        </a:p>
      </xdr:txBody>
    </xdr:sp>
    <xdr:clientData/>
  </xdr:twoCellAnchor>
  <xdr:twoCellAnchor>
    <xdr:from>
      <xdr:col>30</xdr:col>
      <xdr:colOff>93681</xdr:colOff>
      <xdr:row>0</xdr:row>
      <xdr:rowOff>175261</xdr:rowOff>
    </xdr:from>
    <xdr:to>
      <xdr:col>37</xdr:col>
      <xdr:colOff>230841</xdr:colOff>
      <xdr:row>14</xdr:row>
      <xdr:rowOff>99060</xdr:rowOff>
    </xdr:to>
    <xdr:sp macro="" textlink="">
      <xdr:nvSpPr>
        <xdr:cNvPr id="10" name="Rounded Rectangle 9">
          <a:extLst>
            <a:ext uri="{FF2B5EF4-FFF2-40B4-BE49-F238E27FC236}">
              <a16:creationId xmlns:a16="http://schemas.microsoft.com/office/drawing/2014/main" id="{00000000-0008-0000-0C00-00000A000000}"/>
            </a:ext>
          </a:extLst>
        </xdr:cNvPr>
        <xdr:cNvSpPr/>
      </xdr:nvSpPr>
      <xdr:spPr>
        <a:xfrm>
          <a:off x="18381681" y="175261"/>
          <a:ext cx="4404360" cy="2433917"/>
        </a:xfrm>
        <a:prstGeom prst="round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latin typeface="Arial" panose="020B0604020202020204" pitchFamily="34" charset="0"/>
              <a:cs typeface="Arial" panose="020B0604020202020204" pitchFamily="34" charset="0"/>
            </a:rPr>
            <a:t>ANALYSIS</a:t>
          </a:r>
          <a:r>
            <a:rPr lang="en-US" sz="900" b="1" baseline="0">
              <a:latin typeface="Arial" panose="020B0604020202020204" pitchFamily="34" charset="0"/>
              <a:cs typeface="Arial" panose="020B0604020202020204" pitchFamily="34" charset="0"/>
            </a:rPr>
            <a:t> - </a:t>
          </a:r>
          <a:r>
            <a:rPr lang="en-US" sz="800" b="0" baseline="0">
              <a:latin typeface="Arial" panose="020B0604020202020204" pitchFamily="34" charset="0"/>
              <a:cs typeface="Arial" panose="020B0604020202020204" pitchFamily="34" charset="0"/>
            </a:rPr>
            <a:t>Top 5 Cities by Revenue</a:t>
          </a:r>
        </a:p>
        <a:p>
          <a:pPr algn="l"/>
          <a:endParaRPr lang="en-US" sz="800" b="0" baseline="0">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OBSERVATIONS</a:t>
          </a:r>
        </a:p>
        <a:p>
          <a:pPr algn="l"/>
          <a:r>
            <a:rPr lang="en-US" sz="800" b="0">
              <a:latin typeface="Arial" panose="020B0604020202020204" pitchFamily="34" charset="0"/>
              <a:cs typeface="Arial" panose="020B0604020202020204" pitchFamily="34" charset="0"/>
            </a:rPr>
            <a:t>- New York is a top performing market generating a revenue of $67,180.50</a:t>
          </a:r>
          <a:br>
            <a:rPr lang="en-US" sz="800" b="0">
              <a:latin typeface="Arial" panose="020B0604020202020204" pitchFamily="34" charset="0"/>
              <a:cs typeface="Arial" panose="020B0604020202020204" pitchFamily="34" charset="0"/>
            </a:rPr>
          </a:br>
          <a:r>
            <a:rPr lang="en-US" sz="800" b="0">
              <a:latin typeface="Arial" panose="020B0604020202020204" pitchFamily="34" charset="0"/>
              <a:cs typeface="Arial" panose="020B0604020202020204" pitchFamily="34" charset="0"/>
            </a:rPr>
            <a:t>- Portland and Miami have the same level of market performance with revenue of $50,208.35 and $50,145.33 respectively.</a:t>
          </a:r>
          <a:br>
            <a:rPr lang="en-US" sz="800" b="0">
              <a:latin typeface="Arial" panose="020B0604020202020204" pitchFamily="34" charset="0"/>
              <a:cs typeface="Arial" panose="020B0604020202020204" pitchFamily="34" charset="0"/>
            </a:rPr>
          </a:br>
          <a:r>
            <a:rPr lang="en-US" sz="800" b="0">
              <a:latin typeface="Arial" panose="020B0604020202020204" pitchFamily="34" charset="0"/>
              <a:cs typeface="Arial" panose="020B0604020202020204" pitchFamily="34" charset="0"/>
            </a:rPr>
            <a:t>- There is a noticeable decrease in revenue for Memphis and Chicago compared to the top three cities with include New York, Portland and Miami.</a:t>
          </a:r>
          <a:br>
            <a:rPr lang="en-US" sz="800" b="0">
              <a:latin typeface="Arial" panose="020B0604020202020204" pitchFamily="34" charset="0"/>
              <a:cs typeface="Arial" panose="020B0604020202020204" pitchFamily="34" charset="0"/>
            </a:rPr>
          </a:br>
          <a:r>
            <a:rPr lang="en-US" sz="800" b="0">
              <a:latin typeface="Arial" panose="020B0604020202020204" pitchFamily="34" charset="0"/>
              <a:cs typeface="Arial" panose="020B0604020202020204" pitchFamily="34" charset="0"/>
            </a:rPr>
            <a:t>- Chicago is the fifth ranked city with respect to revenue of $41,095.01</a:t>
          </a:r>
        </a:p>
        <a:p>
          <a:pPr algn="l"/>
          <a:endParaRPr lang="en-US" sz="800" b="0">
            <a:latin typeface="Arial" panose="020B0604020202020204" pitchFamily="34" charset="0"/>
            <a:cs typeface="Arial" panose="020B0604020202020204" pitchFamily="34" charset="0"/>
          </a:endParaRPr>
        </a:p>
        <a:p>
          <a:pPr algn="l"/>
          <a:r>
            <a:rPr lang="en-US" sz="800" b="1">
              <a:latin typeface="Arial" panose="020B0604020202020204" pitchFamily="34" charset="0"/>
              <a:cs typeface="Arial" panose="020B0604020202020204" pitchFamily="34" charset="0"/>
            </a:rPr>
            <a:t>PRE-INSIGHT</a:t>
          </a:r>
        </a:p>
        <a:p>
          <a:pPr algn="l"/>
          <a:r>
            <a:rPr lang="en-US" sz="800" b="0">
              <a:latin typeface="Arial" panose="020B0604020202020204" pitchFamily="34" charset="0"/>
              <a:cs typeface="Arial" panose="020B0604020202020204" pitchFamily="34" charset="0"/>
            </a:rPr>
            <a:t>- The significant revenue lead from New York suggests further investment to area.</a:t>
          </a:r>
        </a:p>
        <a:p>
          <a:pPr algn="l"/>
          <a:r>
            <a:rPr lang="en-US" sz="800" b="0">
              <a:latin typeface="Arial" panose="020B0604020202020204" pitchFamily="34" charset="0"/>
              <a:cs typeface="Arial" panose="020B0604020202020204" pitchFamily="34" charset="0"/>
            </a:rPr>
            <a:t>- Portland and Miami's similar performance could indicate a need for standardized strategies. </a:t>
          </a:r>
        </a:p>
        <a:p>
          <a:pPr algn="l"/>
          <a:r>
            <a:rPr lang="en-US" sz="800" b="0">
              <a:latin typeface="Arial" panose="020B0604020202020204" pitchFamily="34" charset="0"/>
              <a:cs typeface="Arial" panose="020B0604020202020204" pitchFamily="34" charset="0"/>
            </a:rPr>
            <a:t>- Investigate the market dynamics, competition landscape and customer demography of New York to replicate its success in other cities.</a:t>
          </a:r>
        </a:p>
        <a:p>
          <a:pPr algn="l"/>
          <a:endParaRPr lang="en-US" sz="800" b="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133351</xdr:colOff>
      <xdr:row>22</xdr:row>
      <xdr:rowOff>104775</xdr:rowOff>
    </xdr:to>
    <xdr:sp macro="" textlink="">
      <xdr:nvSpPr>
        <xdr:cNvPr id="2" name="Rectangle 1">
          <a:extLst>
            <a:ext uri="{FF2B5EF4-FFF2-40B4-BE49-F238E27FC236}">
              <a16:creationId xmlns:a16="http://schemas.microsoft.com/office/drawing/2014/main" id="{1EDECB98-56C7-4489-B418-B6E1CDF156C7}"/>
            </a:ext>
          </a:extLst>
        </xdr:cNvPr>
        <xdr:cNvSpPr/>
      </xdr:nvSpPr>
      <xdr:spPr>
        <a:xfrm>
          <a:off x="0" y="0"/>
          <a:ext cx="1355726" cy="4295775"/>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2</xdr:col>
      <xdr:colOff>209549</xdr:colOff>
      <xdr:row>0</xdr:row>
      <xdr:rowOff>71439</xdr:rowOff>
    </xdr:from>
    <xdr:to>
      <xdr:col>13</xdr:col>
      <xdr:colOff>484187</xdr:colOff>
      <xdr:row>4</xdr:row>
      <xdr:rowOff>28575</xdr:rowOff>
    </xdr:to>
    <xdr:sp macro="" textlink="">
      <xdr:nvSpPr>
        <xdr:cNvPr id="5" name="Rectangle: Rounded Corners 4">
          <a:extLst>
            <a:ext uri="{FF2B5EF4-FFF2-40B4-BE49-F238E27FC236}">
              <a16:creationId xmlns:a16="http://schemas.microsoft.com/office/drawing/2014/main" id="{A80263B2-614D-4E64-9488-A681591470A0}"/>
            </a:ext>
          </a:extLst>
        </xdr:cNvPr>
        <xdr:cNvSpPr/>
      </xdr:nvSpPr>
      <xdr:spPr>
        <a:xfrm>
          <a:off x="1431924" y="71439"/>
          <a:ext cx="6997701" cy="719136"/>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chemeClr val="accent5">
                  <a:lumMod val="50000"/>
                </a:schemeClr>
              </a:solidFill>
              <a:latin typeface="Georgia" panose="02040502050405020303" pitchFamily="18" charset="0"/>
            </a:rPr>
            <a:t>Sales</a:t>
          </a:r>
          <a:r>
            <a:rPr lang="en-US" sz="1800" b="1" baseline="0">
              <a:solidFill>
                <a:schemeClr val="accent5">
                  <a:lumMod val="50000"/>
                </a:schemeClr>
              </a:solidFill>
              <a:latin typeface="Georgia" panose="02040502050405020303" pitchFamily="18" charset="0"/>
            </a:rPr>
            <a:t> Dashboard for Oreo for The Year 2023</a:t>
          </a:r>
          <a:endParaRPr lang="en-US" sz="1800" b="1">
            <a:solidFill>
              <a:schemeClr val="accent5">
                <a:lumMod val="50000"/>
              </a:schemeClr>
            </a:solidFill>
            <a:latin typeface="Georgia" panose="02040502050405020303" pitchFamily="18" charset="0"/>
          </a:endParaRPr>
        </a:p>
      </xdr:txBody>
    </xdr:sp>
    <xdr:clientData/>
  </xdr:twoCellAnchor>
  <xdr:oneCellAnchor>
    <xdr:from>
      <xdr:col>2</xdr:col>
      <xdr:colOff>266699</xdr:colOff>
      <xdr:row>2</xdr:row>
      <xdr:rowOff>66675</xdr:rowOff>
    </xdr:from>
    <xdr:ext cx="1685925" cy="238125"/>
    <xdr:sp macro="" textlink="">
      <xdr:nvSpPr>
        <xdr:cNvPr id="7" name="TextBox 6">
          <a:extLst>
            <a:ext uri="{FF2B5EF4-FFF2-40B4-BE49-F238E27FC236}">
              <a16:creationId xmlns:a16="http://schemas.microsoft.com/office/drawing/2014/main" id="{CD945291-3DF7-4D76-BE6C-548FAE3D6D35}"/>
            </a:ext>
          </a:extLst>
        </xdr:cNvPr>
        <xdr:cNvSpPr txBox="1"/>
      </xdr:nvSpPr>
      <xdr:spPr>
        <a:xfrm>
          <a:off x="1485899" y="447675"/>
          <a:ext cx="168592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i="1">
              <a:solidFill>
                <a:schemeClr val="bg2">
                  <a:lumMod val="50000"/>
                </a:schemeClr>
              </a:solidFill>
              <a:latin typeface="Georgia" panose="02040502050405020303" pitchFamily="18" charset="0"/>
              <a:cs typeface="Arial" panose="020B0604020202020204" pitchFamily="34" charset="0"/>
            </a:rPr>
            <a:t>Figures in thousands</a:t>
          </a:r>
          <a:r>
            <a:rPr lang="en-US" sz="900" i="1" baseline="0">
              <a:solidFill>
                <a:schemeClr val="bg2">
                  <a:lumMod val="50000"/>
                </a:schemeClr>
              </a:solidFill>
              <a:latin typeface="Georgia" panose="02040502050405020303" pitchFamily="18" charset="0"/>
              <a:cs typeface="Arial" panose="020B0604020202020204" pitchFamily="34" charset="0"/>
            </a:rPr>
            <a:t> of USD</a:t>
          </a:r>
          <a:endParaRPr lang="en-US" sz="900" i="1">
            <a:solidFill>
              <a:schemeClr val="bg2">
                <a:lumMod val="50000"/>
              </a:schemeClr>
            </a:solidFill>
            <a:latin typeface="Georgia" panose="02040502050405020303" pitchFamily="18" charset="0"/>
            <a:cs typeface="Arial" panose="020B0604020202020204" pitchFamily="34" charset="0"/>
          </a:endParaRPr>
        </a:p>
      </xdr:txBody>
    </xdr:sp>
    <xdr:clientData/>
  </xdr:oneCellAnchor>
  <xdr:twoCellAnchor>
    <xdr:from>
      <xdr:col>2</xdr:col>
      <xdr:colOff>222250</xdr:colOff>
      <xdr:row>4</xdr:row>
      <xdr:rowOff>127001</xdr:rowOff>
    </xdr:from>
    <xdr:to>
      <xdr:col>6</xdr:col>
      <xdr:colOff>103188</xdr:colOff>
      <xdr:row>12</xdr:row>
      <xdr:rowOff>87313</xdr:rowOff>
    </xdr:to>
    <xdr:sp macro="" textlink="">
      <xdr:nvSpPr>
        <xdr:cNvPr id="8" name="Rectangle: Rounded Corners 7">
          <a:extLst>
            <a:ext uri="{FF2B5EF4-FFF2-40B4-BE49-F238E27FC236}">
              <a16:creationId xmlns:a16="http://schemas.microsoft.com/office/drawing/2014/main" id="{9F399DBB-261D-4D86-908A-3695B20A8C08}"/>
            </a:ext>
          </a:extLst>
        </xdr:cNvPr>
        <xdr:cNvSpPr/>
      </xdr:nvSpPr>
      <xdr:spPr>
        <a:xfrm>
          <a:off x="1444625" y="889001"/>
          <a:ext cx="2325688" cy="148431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182563</xdr:colOff>
      <xdr:row>4</xdr:row>
      <xdr:rowOff>142875</xdr:rowOff>
    </xdr:from>
    <xdr:to>
      <xdr:col>10</xdr:col>
      <xdr:colOff>31750</xdr:colOff>
      <xdr:row>12</xdr:row>
      <xdr:rowOff>103188</xdr:rowOff>
    </xdr:to>
    <xdr:sp macro="" textlink="">
      <xdr:nvSpPr>
        <xdr:cNvPr id="12" name="Rectangle: Rounded Corners 11">
          <a:extLst>
            <a:ext uri="{FF2B5EF4-FFF2-40B4-BE49-F238E27FC236}">
              <a16:creationId xmlns:a16="http://schemas.microsoft.com/office/drawing/2014/main" id="{E80C51E9-DDBC-49FD-9CF7-B6AD1AF4B781}"/>
            </a:ext>
          </a:extLst>
        </xdr:cNvPr>
        <xdr:cNvSpPr/>
      </xdr:nvSpPr>
      <xdr:spPr>
        <a:xfrm>
          <a:off x="3849688" y="904875"/>
          <a:ext cx="2293937" cy="1484313"/>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119064</xdr:colOff>
      <xdr:row>4</xdr:row>
      <xdr:rowOff>134938</xdr:rowOff>
    </xdr:from>
    <xdr:to>
      <xdr:col>13</xdr:col>
      <xdr:colOff>476251</xdr:colOff>
      <xdr:row>12</xdr:row>
      <xdr:rowOff>95251</xdr:rowOff>
    </xdr:to>
    <xdr:sp macro="" textlink="">
      <xdr:nvSpPr>
        <xdr:cNvPr id="13" name="Rectangle: Rounded Corners 12">
          <a:extLst>
            <a:ext uri="{FF2B5EF4-FFF2-40B4-BE49-F238E27FC236}">
              <a16:creationId xmlns:a16="http://schemas.microsoft.com/office/drawing/2014/main" id="{7088ED92-82AB-4D58-8ECD-70DB54CD5076}"/>
            </a:ext>
          </a:extLst>
        </xdr:cNvPr>
        <xdr:cNvSpPr/>
      </xdr:nvSpPr>
      <xdr:spPr>
        <a:xfrm>
          <a:off x="6230939" y="896938"/>
          <a:ext cx="2190750" cy="1484313"/>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222251</xdr:colOff>
      <xdr:row>13</xdr:row>
      <xdr:rowOff>7938</xdr:rowOff>
    </xdr:from>
    <xdr:to>
      <xdr:col>10</xdr:col>
      <xdr:colOff>87313</xdr:colOff>
      <xdr:row>21</xdr:row>
      <xdr:rowOff>150813</xdr:rowOff>
    </xdr:to>
    <xdr:sp macro="" textlink="">
      <xdr:nvSpPr>
        <xdr:cNvPr id="14" name="Rectangle: Rounded Corners 13">
          <a:extLst>
            <a:ext uri="{FF2B5EF4-FFF2-40B4-BE49-F238E27FC236}">
              <a16:creationId xmlns:a16="http://schemas.microsoft.com/office/drawing/2014/main" id="{DEF15E19-225C-4E8A-9B7F-7ECB1F45E196}"/>
            </a:ext>
          </a:extLst>
        </xdr:cNvPr>
        <xdr:cNvSpPr/>
      </xdr:nvSpPr>
      <xdr:spPr>
        <a:xfrm>
          <a:off x="1444626" y="2484438"/>
          <a:ext cx="4754562" cy="166687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158750</xdr:colOff>
      <xdr:row>13</xdr:row>
      <xdr:rowOff>20635</xdr:rowOff>
    </xdr:from>
    <xdr:to>
      <xdr:col>13</xdr:col>
      <xdr:colOff>468312</xdr:colOff>
      <xdr:row>21</xdr:row>
      <xdr:rowOff>150812</xdr:rowOff>
    </xdr:to>
    <xdr:sp macro="" textlink="">
      <xdr:nvSpPr>
        <xdr:cNvPr id="15" name="Rectangle: Rounded Corners 14">
          <a:extLst>
            <a:ext uri="{FF2B5EF4-FFF2-40B4-BE49-F238E27FC236}">
              <a16:creationId xmlns:a16="http://schemas.microsoft.com/office/drawing/2014/main" id="{814205CF-5495-451B-B0FF-F5F962C47E3B}"/>
            </a:ext>
          </a:extLst>
        </xdr:cNvPr>
        <xdr:cNvSpPr/>
      </xdr:nvSpPr>
      <xdr:spPr>
        <a:xfrm>
          <a:off x="6270625" y="2497135"/>
          <a:ext cx="2143125" cy="1654177"/>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563562</xdr:colOff>
      <xdr:row>0</xdr:row>
      <xdr:rowOff>53972</xdr:rowOff>
    </xdr:from>
    <xdr:to>
      <xdr:col>16</xdr:col>
      <xdr:colOff>558800</xdr:colOff>
      <xdr:row>21</xdr:row>
      <xdr:rowOff>103188</xdr:rowOff>
    </xdr:to>
    <xdr:sp macro="" textlink="">
      <xdr:nvSpPr>
        <xdr:cNvPr id="16" name="Rectangle: Rounded Corners 15">
          <a:extLst>
            <a:ext uri="{FF2B5EF4-FFF2-40B4-BE49-F238E27FC236}">
              <a16:creationId xmlns:a16="http://schemas.microsoft.com/office/drawing/2014/main" id="{20811DB7-29C1-482A-BB89-79A022A84A89}"/>
            </a:ext>
          </a:extLst>
        </xdr:cNvPr>
        <xdr:cNvSpPr/>
      </xdr:nvSpPr>
      <xdr:spPr>
        <a:xfrm>
          <a:off x="8509000" y="53972"/>
          <a:ext cx="1828800" cy="404971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357187</xdr:colOff>
      <xdr:row>4</xdr:row>
      <xdr:rowOff>79375</xdr:rowOff>
    </xdr:from>
    <xdr:to>
      <xdr:col>1</xdr:col>
      <xdr:colOff>261939</xdr:colOff>
      <xdr:row>7</xdr:row>
      <xdr:rowOff>23815</xdr:rowOff>
    </xdr:to>
    <xdr:pic>
      <xdr:nvPicPr>
        <xdr:cNvPr id="10" name="Graphic 9" descr="Lightbulb and gear with solid fill">
          <a:hlinkClick xmlns:r="http://schemas.openxmlformats.org/officeDocument/2006/relationships" r:id="rId1"/>
          <a:extLst>
            <a:ext uri="{FF2B5EF4-FFF2-40B4-BE49-F238E27FC236}">
              <a16:creationId xmlns:a16="http://schemas.microsoft.com/office/drawing/2014/main" id="{B2FC7406-4ABE-4375-BFBC-7C10A026E1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57187" y="841375"/>
          <a:ext cx="515940" cy="515940"/>
        </a:xfrm>
        <a:prstGeom prst="rect">
          <a:avLst/>
        </a:prstGeom>
      </xdr:spPr>
    </xdr:pic>
    <xdr:clientData/>
  </xdr:twoCellAnchor>
  <xdr:twoCellAnchor editAs="oneCell">
    <xdr:from>
      <xdr:col>0</xdr:col>
      <xdr:colOff>349250</xdr:colOff>
      <xdr:row>8</xdr:row>
      <xdr:rowOff>55564</xdr:rowOff>
    </xdr:from>
    <xdr:to>
      <xdr:col>1</xdr:col>
      <xdr:colOff>198437</xdr:colOff>
      <xdr:row>10</xdr:row>
      <xdr:rowOff>134939</xdr:rowOff>
    </xdr:to>
    <xdr:pic>
      <xdr:nvPicPr>
        <xdr:cNvPr id="18" name="Graphic 17" descr="Email with solid fill">
          <a:hlinkClick xmlns:r="http://schemas.openxmlformats.org/officeDocument/2006/relationships" r:id="rId4"/>
          <a:extLst>
            <a:ext uri="{FF2B5EF4-FFF2-40B4-BE49-F238E27FC236}">
              <a16:creationId xmlns:a16="http://schemas.microsoft.com/office/drawing/2014/main" id="{15EE5FCD-78A2-4D57-92E1-1B9DF5673C2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9250" y="1579564"/>
          <a:ext cx="460375" cy="460375"/>
        </a:xfrm>
        <a:prstGeom prst="rect">
          <a:avLst/>
        </a:prstGeom>
      </xdr:spPr>
    </xdr:pic>
    <xdr:clientData/>
  </xdr:twoCellAnchor>
  <xdr:twoCellAnchor editAs="oneCell">
    <xdr:from>
      <xdr:col>0</xdr:col>
      <xdr:colOff>333374</xdr:colOff>
      <xdr:row>12</xdr:row>
      <xdr:rowOff>47625</xdr:rowOff>
    </xdr:from>
    <xdr:to>
      <xdr:col>1</xdr:col>
      <xdr:colOff>214312</xdr:colOff>
      <xdr:row>14</xdr:row>
      <xdr:rowOff>158751</xdr:rowOff>
    </xdr:to>
    <xdr:pic>
      <xdr:nvPicPr>
        <xdr:cNvPr id="20" name="Graphic 19" descr="Questions with solid fill">
          <a:hlinkClick xmlns:r="http://schemas.openxmlformats.org/officeDocument/2006/relationships" r:id="rId7"/>
          <a:extLst>
            <a:ext uri="{FF2B5EF4-FFF2-40B4-BE49-F238E27FC236}">
              <a16:creationId xmlns:a16="http://schemas.microsoft.com/office/drawing/2014/main" id="{D4F6C462-E517-49C0-BE57-0CBBD5F6E85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33374" y="2333625"/>
          <a:ext cx="492126" cy="492126"/>
        </a:xfrm>
        <a:prstGeom prst="rect">
          <a:avLst/>
        </a:prstGeom>
      </xdr:spPr>
    </xdr:pic>
    <xdr:clientData/>
  </xdr:twoCellAnchor>
  <xdr:twoCellAnchor>
    <xdr:from>
      <xdr:col>13</xdr:col>
      <xdr:colOff>555626</xdr:colOff>
      <xdr:row>2</xdr:row>
      <xdr:rowOff>87313</xdr:rowOff>
    </xdr:from>
    <xdr:to>
      <xdr:col>16</xdr:col>
      <xdr:colOff>508000</xdr:colOff>
      <xdr:row>21</xdr:row>
      <xdr:rowOff>55563</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F1A2CB54-6426-411F-9D3E-A7737A536F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480426" y="468313"/>
              <a:ext cx="1781174" cy="3587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285751</xdr:colOff>
      <xdr:row>14</xdr:row>
      <xdr:rowOff>47624</xdr:rowOff>
    </xdr:from>
    <xdr:to>
      <xdr:col>10</xdr:col>
      <xdr:colOff>79375</xdr:colOff>
      <xdr:row>21</xdr:row>
      <xdr:rowOff>110129</xdr:rowOff>
    </xdr:to>
    <xdr:graphicFrame macro="">
      <xdr:nvGraphicFramePr>
        <xdr:cNvPr id="27" name="Chart 26">
          <a:extLst>
            <a:ext uri="{FF2B5EF4-FFF2-40B4-BE49-F238E27FC236}">
              <a16:creationId xmlns:a16="http://schemas.microsoft.com/office/drawing/2014/main" id="{3A835510-99E1-4DA0-87D9-6689DE767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13</xdr:col>
      <xdr:colOff>577849</xdr:colOff>
      <xdr:row>0</xdr:row>
      <xdr:rowOff>92075</xdr:rowOff>
    </xdr:from>
    <xdr:ext cx="1685925" cy="238125"/>
    <xdr:sp macro="" textlink="">
      <xdr:nvSpPr>
        <xdr:cNvPr id="28" name="TextBox 27">
          <a:extLst>
            <a:ext uri="{FF2B5EF4-FFF2-40B4-BE49-F238E27FC236}">
              <a16:creationId xmlns:a16="http://schemas.microsoft.com/office/drawing/2014/main" id="{B7D435FF-CEE0-4199-B910-7DCFAF2CFE47}"/>
            </a:ext>
          </a:extLst>
        </xdr:cNvPr>
        <xdr:cNvSpPr txBox="1"/>
      </xdr:nvSpPr>
      <xdr:spPr>
        <a:xfrm>
          <a:off x="8523287" y="92075"/>
          <a:ext cx="168592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Sales By City </a:t>
          </a:r>
          <a:r>
            <a:rPr kumimoji="0" lang="en-US" sz="600" b="0"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Arial" panose="020B0604020202020204" pitchFamily="34" charset="0"/>
            </a:rPr>
            <a:t>for the year 2030</a:t>
          </a:r>
          <a:endParaRPr lang="en-US" sz="1100" b="1" i="1">
            <a:solidFill>
              <a:schemeClr val="accent5">
                <a:lumMod val="50000"/>
              </a:schemeClr>
            </a:solidFill>
            <a:latin typeface="Georgia" panose="02040502050405020303" pitchFamily="18" charset="0"/>
            <a:cs typeface="Arial" panose="020B0604020202020204" pitchFamily="34" charset="0"/>
          </a:endParaRPr>
        </a:p>
      </xdr:txBody>
    </xdr:sp>
    <xdr:clientData/>
  </xdr:oneCellAnchor>
  <xdr:oneCellAnchor>
    <xdr:from>
      <xdr:col>2</xdr:col>
      <xdr:colOff>277812</xdr:colOff>
      <xdr:row>13</xdr:row>
      <xdr:rowOff>22226</xdr:rowOff>
    </xdr:from>
    <xdr:ext cx="2190751" cy="238125"/>
    <xdr:sp macro="" textlink="">
      <xdr:nvSpPr>
        <xdr:cNvPr id="29" name="TextBox 28">
          <a:extLst>
            <a:ext uri="{FF2B5EF4-FFF2-40B4-BE49-F238E27FC236}">
              <a16:creationId xmlns:a16="http://schemas.microsoft.com/office/drawing/2014/main" id="{CCC759EE-4ED9-4D3C-AD31-CD941492E1AC}"/>
            </a:ext>
          </a:extLst>
        </xdr:cNvPr>
        <xdr:cNvSpPr txBox="1"/>
      </xdr:nvSpPr>
      <xdr:spPr>
        <a:xfrm>
          <a:off x="1500187" y="2498726"/>
          <a:ext cx="2190751"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Sales</a:t>
          </a:r>
          <a:r>
            <a:rPr lang="en-US" sz="1100" b="1" i="1" baseline="0">
              <a:solidFill>
                <a:schemeClr val="accent5">
                  <a:lumMod val="50000"/>
                </a:schemeClr>
              </a:solidFill>
              <a:latin typeface="Georgia" panose="02040502050405020303" pitchFamily="18" charset="0"/>
              <a:cs typeface="Arial" panose="020B0604020202020204" pitchFamily="34" charset="0"/>
            </a:rPr>
            <a:t> T</a:t>
          </a:r>
          <a:r>
            <a:rPr lang="en-US" sz="1100" b="1" i="1">
              <a:solidFill>
                <a:schemeClr val="accent5">
                  <a:lumMod val="50000"/>
                </a:schemeClr>
              </a:solidFill>
              <a:latin typeface="Georgia" panose="02040502050405020303" pitchFamily="18" charset="0"/>
              <a:cs typeface="Arial" panose="020B0604020202020204" pitchFamily="34" charset="0"/>
            </a:rPr>
            <a:t>rend</a:t>
          </a:r>
          <a:r>
            <a:rPr lang="en-US" sz="1100" b="1" i="1" baseline="0">
              <a:solidFill>
                <a:schemeClr val="accent5">
                  <a:lumMod val="50000"/>
                </a:schemeClr>
              </a:solidFill>
              <a:latin typeface="Georgia" panose="02040502050405020303" pitchFamily="18" charset="0"/>
              <a:cs typeface="Arial" panose="020B0604020202020204" pitchFamily="34" charset="0"/>
            </a:rPr>
            <a:t> </a:t>
          </a:r>
          <a:r>
            <a:rPr kumimoji="0" lang="en-US" sz="600" b="0"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Arial" panose="020B0604020202020204" pitchFamily="34" charset="0"/>
            </a:rPr>
            <a:t>for the year 2030</a:t>
          </a:r>
          <a:endParaRPr lang="en-US" sz="600" b="0" i="1">
            <a:solidFill>
              <a:schemeClr val="bg2">
                <a:lumMod val="50000"/>
              </a:schemeClr>
            </a:solidFill>
            <a:latin typeface="Georgia" panose="02040502050405020303" pitchFamily="18" charset="0"/>
            <a:cs typeface="Arial" panose="020B0604020202020204" pitchFamily="34" charset="0"/>
          </a:endParaRPr>
        </a:p>
      </xdr:txBody>
    </xdr:sp>
    <xdr:clientData/>
  </xdr:oneCellAnchor>
  <xdr:oneCellAnchor>
    <xdr:from>
      <xdr:col>0</xdr:col>
      <xdr:colOff>0</xdr:colOff>
      <xdr:row>25</xdr:row>
      <xdr:rowOff>142877</xdr:rowOff>
    </xdr:from>
    <xdr:ext cx="0" cy="238125"/>
    <xdr:sp macro="" textlink="">
      <xdr:nvSpPr>
        <xdr:cNvPr id="30" name="TextBox 29">
          <a:extLst>
            <a:ext uri="{FF2B5EF4-FFF2-40B4-BE49-F238E27FC236}">
              <a16:creationId xmlns:a16="http://schemas.microsoft.com/office/drawing/2014/main" id="{0BFEAB58-E352-481C-89DA-3C0E07E23FA4}"/>
            </a:ext>
          </a:extLst>
        </xdr:cNvPr>
        <xdr:cNvSpPr txBox="1"/>
      </xdr:nvSpPr>
      <xdr:spPr>
        <a:xfrm>
          <a:off x="0" y="4905377"/>
          <a:ext cx="0"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Sales</a:t>
          </a:r>
          <a:r>
            <a:rPr lang="en-US" sz="1100" b="1" i="1" baseline="0">
              <a:solidFill>
                <a:schemeClr val="accent5">
                  <a:lumMod val="50000"/>
                </a:schemeClr>
              </a:solidFill>
              <a:latin typeface="Georgia" panose="02040502050405020303" pitchFamily="18" charset="0"/>
              <a:cs typeface="Arial" panose="020B0604020202020204" pitchFamily="34" charset="0"/>
            </a:rPr>
            <a:t> T</a:t>
          </a:r>
          <a:r>
            <a:rPr lang="en-US" sz="1100" b="1" i="1">
              <a:solidFill>
                <a:schemeClr val="accent5">
                  <a:lumMod val="50000"/>
                </a:schemeClr>
              </a:solidFill>
              <a:latin typeface="Georgia" panose="02040502050405020303" pitchFamily="18" charset="0"/>
              <a:cs typeface="Arial" panose="020B0604020202020204" pitchFamily="34" charset="0"/>
            </a:rPr>
            <a:t>rend</a:t>
          </a:r>
          <a:r>
            <a:rPr lang="en-US" sz="1100" b="1" i="1" baseline="0">
              <a:solidFill>
                <a:schemeClr val="accent5">
                  <a:lumMod val="50000"/>
                </a:schemeClr>
              </a:solidFill>
              <a:latin typeface="Georgia" panose="02040502050405020303" pitchFamily="18" charset="0"/>
              <a:cs typeface="Arial" panose="020B0604020202020204" pitchFamily="34" charset="0"/>
            </a:rPr>
            <a:t> for the Year</a:t>
          </a:r>
          <a:r>
            <a:rPr lang="en-US" sz="1100" b="1" i="1">
              <a:solidFill>
                <a:schemeClr val="accent5">
                  <a:lumMod val="50000"/>
                </a:schemeClr>
              </a:solidFill>
              <a:latin typeface="Georgia" panose="02040502050405020303" pitchFamily="18" charset="0"/>
              <a:cs typeface="Arial" panose="020B0604020202020204" pitchFamily="34" charset="0"/>
            </a:rPr>
            <a:t> 30'</a:t>
          </a:r>
        </a:p>
      </xdr:txBody>
    </xdr:sp>
    <xdr:clientData/>
  </xdr:oneCellAnchor>
  <xdr:oneCellAnchor>
    <xdr:from>
      <xdr:col>2</xdr:col>
      <xdr:colOff>223837</xdr:colOff>
      <xdr:row>4</xdr:row>
      <xdr:rowOff>142876</xdr:rowOff>
    </xdr:from>
    <xdr:ext cx="2190751" cy="238125"/>
    <xdr:sp macro="" textlink="">
      <xdr:nvSpPr>
        <xdr:cNvPr id="31" name="TextBox 30">
          <a:extLst>
            <a:ext uri="{FF2B5EF4-FFF2-40B4-BE49-F238E27FC236}">
              <a16:creationId xmlns:a16="http://schemas.microsoft.com/office/drawing/2014/main" id="{1619DD7E-C221-4D4D-869A-94057034B792}"/>
            </a:ext>
          </a:extLst>
        </xdr:cNvPr>
        <xdr:cNvSpPr txBox="1"/>
      </xdr:nvSpPr>
      <xdr:spPr>
        <a:xfrm>
          <a:off x="1446212" y="904876"/>
          <a:ext cx="2190751"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Top Customers </a:t>
          </a:r>
          <a:r>
            <a:rPr kumimoji="0" lang="en-US" sz="600" b="0"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Arial" panose="020B0604020202020204" pitchFamily="34" charset="0"/>
            </a:rPr>
            <a:t>for the year 2030</a:t>
          </a:r>
          <a:endParaRPr lang="en-US" sz="1100" b="1" i="1">
            <a:solidFill>
              <a:schemeClr val="accent5">
                <a:lumMod val="50000"/>
              </a:schemeClr>
            </a:solidFill>
            <a:latin typeface="Georgia" panose="02040502050405020303" pitchFamily="18" charset="0"/>
            <a:cs typeface="Arial" panose="020B0604020202020204" pitchFamily="34" charset="0"/>
          </a:endParaRPr>
        </a:p>
      </xdr:txBody>
    </xdr:sp>
    <xdr:clientData/>
  </xdr:oneCellAnchor>
  <xdr:oneCellAnchor>
    <xdr:from>
      <xdr:col>2</xdr:col>
      <xdr:colOff>106362</xdr:colOff>
      <xdr:row>0</xdr:row>
      <xdr:rowOff>0</xdr:rowOff>
    </xdr:from>
    <xdr:ext cx="2190751" cy="0"/>
    <xdr:sp macro="" textlink="">
      <xdr:nvSpPr>
        <xdr:cNvPr id="32" name="TextBox 31">
          <a:extLst>
            <a:ext uri="{FF2B5EF4-FFF2-40B4-BE49-F238E27FC236}">
              <a16:creationId xmlns:a16="http://schemas.microsoft.com/office/drawing/2014/main" id="{983C4518-7F48-4A59-A58F-D9165BFD4632}"/>
            </a:ext>
          </a:extLst>
        </xdr:cNvPr>
        <xdr:cNvSpPr txBox="1"/>
      </xdr:nvSpPr>
      <xdr:spPr>
        <a:xfrm>
          <a:off x="1328737" y="0"/>
          <a:ext cx="2190751"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Sales</a:t>
          </a:r>
          <a:r>
            <a:rPr lang="en-US" sz="1100" b="1" i="1" baseline="0">
              <a:solidFill>
                <a:schemeClr val="accent5">
                  <a:lumMod val="50000"/>
                </a:schemeClr>
              </a:solidFill>
              <a:latin typeface="Georgia" panose="02040502050405020303" pitchFamily="18" charset="0"/>
              <a:cs typeface="Arial" panose="020B0604020202020204" pitchFamily="34" charset="0"/>
            </a:rPr>
            <a:t> T</a:t>
          </a:r>
          <a:r>
            <a:rPr lang="en-US" sz="1100" b="1" i="1">
              <a:solidFill>
                <a:schemeClr val="accent5">
                  <a:lumMod val="50000"/>
                </a:schemeClr>
              </a:solidFill>
              <a:latin typeface="Georgia" panose="02040502050405020303" pitchFamily="18" charset="0"/>
              <a:cs typeface="Arial" panose="020B0604020202020204" pitchFamily="34" charset="0"/>
            </a:rPr>
            <a:t>rend</a:t>
          </a:r>
          <a:r>
            <a:rPr lang="en-US" sz="1100" b="1" i="1" baseline="0">
              <a:solidFill>
                <a:schemeClr val="accent5">
                  <a:lumMod val="50000"/>
                </a:schemeClr>
              </a:solidFill>
              <a:latin typeface="Georgia" panose="02040502050405020303" pitchFamily="18" charset="0"/>
              <a:cs typeface="Arial" panose="020B0604020202020204" pitchFamily="34" charset="0"/>
            </a:rPr>
            <a:t> for the Year</a:t>
          </a:r>
          <a:r>
            <a:rPr lang="en-US" sz="1100" b="1" i="1">
              <a:solidFill>
                <a:schemeClr val="accent5">
                  <a:lumMod val="50000"/>
                </a:schemeClr>
              </a:solidFill>
              <a:latin typeface="Georgia" panose="02040502050405020303" pitchFamily="18" charset="0"/>
              <a:cs typeface="Arial" panose="020B0604020202020204" pitchFamily="34" charset="0"/>
            </a:rPr>
            <a:t> 30'</a:t>
          </a:r>
        </a:p>
      </xdr:txBody>
    </xdr:sp>
    <xdr:clientData/>
  </xdr:oneCellAnchor>
  <xdr:oneCellAnchor>
    <xdr:from>
      <xdr:col>6</xdr:col>
      <xdr:colOff>193674</xdr:colOff>
      <xdr:row>4</xdr:row>
      <xdr:rowOff>144463</xdr:rowOff>
    </xdr:from>
    <xdr:ext cx="2190751" cy="238125"/>
    <xdr:sp macro="" textlink="">
      <xdr:nvSpPr>
        <xdr:cNvPr id="33" name="TextBox 32">
          <a:extLst>
            <a:ext uri="{FF2B5EF4-FFF2-40B4-BE49-F238E27FC236}">
              <a16:creationId xmlns:a16="http://schemas.microsoft.com/office/drawing/2014/main" id="{5F13304B-EC0D-4125-9C3A-F03B0F5C0AA3}"/>
            </a:ext>
          </a:extLst>
        </xdr:cNvPr>
        <xdr:cNvSpPr txBox="1"/>
      </xdr:nvSpPr>
      <xdr:spPr>
        <a:xfrm>
          <a:off x="3860799" y="906463"/>
          <a:ext cx="2190751"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Top Products </a:t>
          </a:r>
          <a:r>
            <a:rPr kumimoji="0" lang="en-US" sz="600" b="0"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Arial" panose="020B0604020202020204" pitchFamily="34" charset="0"/>
            </a:rPr>
            <a:t>for the year 2030</a:t>
          </a:r>
          <a:endParaRPr lang="en-US" sz="1100" b="1" i="1">
            <a:solidFill>
              <a:schemeClr val="accent5">
                <a:lumMod val="50000"/>
              </a:schemeClr>
            </a:solidFill>
            <a:latin typeface="Georgia" panose="02040502050405020303" pitchFamily="18" charset="0"/>
            <a:cs typeface="Arial" panose="020B0604020202020204" pitchFamily="34" charset="0"/>
          </a:endParaRPr>
        </a:p>
      </xdr:txBody>
    </xdr:sp>
    <xdr:clientData/>
  </xdr:oneCellAnchor>
  <xdr:oneCellAnchor>
    <xdr:from>
      <xdr:col>10</xdr:col>
      <xdr:colOff>107948</xdr:colOff>
      <xdr:row>4</xdr:row>
      <xdr:rowOff>153988</xdr:rowOff>
    </xdr:from>
    <xdr:ext cx="2190751" cy="238125"/>
    <xdr:sp macro="" textlink="">
      <xdr:nvSpPr>
        <xdr:cNvPr id="34" name="TextBox 33">
          <a:extLst>
            <a:ext uri="{FF2B5EF4-FFF2-40B4-BE49-F238E27FC236}">
              <a16:creationId xmlns:a16="http://schemas.microsoft.com/office/drawing/2014/main" id="{2672A979-4FFD-4FA6-91B7-B6CFB55A98C8}"/>
            </a:ext>
          </a:extLst>
        </xdr:cNvPr>
        <xdr:cNvSpPr txBox="1"/>
      </xdr:nvSpPr>
      <xdr:spPr>
        <a:xfrm>
          <a:off x="6219823" y="915988"/>
          <a:ext cx="2190751"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Top Salespersons </a:t>
          </a:r>
          <a:r>
            <a:rPr kumimoji="0" lang="en-US" sz="600" b="0"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Arial" panose="020B0604020202020204" pitchFamily="34" charset="0"/>
            </a:rPr>
            <a:t>for the year 2030</a:t>
          </a:r>
          <a:endParaRPr lang="en-US" sz="1100" b="1" i="1">
            <a:solidFill>
              <a:schemeClr val="accent5">
                <a:lumMod val="50000"/>
              </a:schemeClr>
            </a:solidFill>
            <a:latin typeface="Georgia" panose="02040502050405020303" pitchFamily="18" charset="0"/>
            <a:cs typeface="Arial" panose="020B0604020202020204" pitchFamily="34" charset="0"/>
          </a:endParaRPr>
        </a:p>
      </xdr:txBody>
    </xdr:sp>
    <xdr:clientData/>
  </xdr:oneCellAnchor>
  <xdr:oneCellAnchor>
    <xdr:from>
      <xdr:col>10</xdr:col>
      <xdr:colOff>236534</xdr:colOff>
      <xdr:row>13</xdr:row>
      <xdr:rowOff>12702</xdr:rowOff>
    </xdr:from>
    <xdr:ext cx="2190751" cy="257174"/>
    <xdr:sp macro="" textlink="">
      <xdr:nvSpPr>
        <xdr:cNvPr id="35" name="TextBox 34">
          <a:extLst>
            <a:ext uri="{FF2B5EF4-FFF2-40B4-BE49-F238E27FC236}">
              <a16:creationId xmlns:a16="http://schemas.microsoft.com/office/drawing/2014/main" id="{F3F593CA-C1E5-4B80-95F9-05AEACE63B64}"/>
            </a:ext>
          </a:extLst>
        </xdr:cNvPr>
        <xdr:cNvSpPr txBox="1"/>
      </xdr:nvSpPr>
      <xdr:spPr>
        <a:xfrm>
          <a:off x="6348409" y="2489202"/>
          <a:ext cx="2190751" cy="257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i="1">
              <a:solidFill>
                <a:schemeClr val="accent5">
                  <a:lumMod val="50000"/>
                </a:schemeClr>
              </a:solidFill>
              <a:latin typeface="Georgia" panose="02040502050405020303" pitchFamily="18" charset="0"/>
              <a:cs typeface="Arial" panose="020B0604020202020204" pitchFamily="34" charset="0"/>
            </a:rPr>
            <a:t>Regional</a:t>
          </a:r>
          <a:r>
            <a:rPr lang="en-US" sz="1100" b="1" i="1" baseline="0">
              <a:solidFill>
                <a:schemeClr val="accent5">
                  <a:lumMod val="50000"/>
                </a:schemeClr>
              </a:solidFill>
              <a:latin typeface="Georgia" panose="02040502050405020303" pitchFamily="18" charset="0"/>
              <a:cs typeface="Arial" panose="020B0604020202020204" pitchFamily="34" charset="0"/>
            </a:rPr>
            <a:t> Perf. </a:t>
          </a:r>
          <a:r>
            <a:rPr kumimoji="0" lang="en-US" sz="600" b="0" i="1" u="none" strike="noStrike" kern="0" cap="none" spc="0" normalizeH="0" baseline="0" noProof="0">
              <a:ln>
                <a:noFill/>
              </a:ln>
              <a:solidFill>
                <a:srgbClr val="E7E6E6">
                  <a:lumMod val="50000"/>
                </a:srgbClr>
              </a:solidFill>
              <a:effectLst/>
              <a:uLnTx/>
              <a:uFillTx/>
              <a:latin typeface="Georgia" panose="02040502050405020303" pitchFamily="18" charset="0"/>
              <a:ea typeface="+mn-ea"/>
              <a:cs typeface="Arial" panose="020B0604020202020204" pitchFamily="34" charset="0"/>
            </a:rPr>
            <a:t>for the year 2030</a:t>
          </a:r>
          <a:endParaRPr lang="en-US" sz="1100" b="1" i="1">
            <a:solidFill>
              <a:schemeClr val="accent5">
                <a:lumMod val="50000"/>
              </a:schemeClr>
            </a:solidFill>
            <a:latin typeface="Georgia" panose="02040502050405020303" pitchFamily="18" charset="0"/>
            <a:cs typeface="Arial" panose="020B0604020202020204" pitchFamily="34" charset="0"/>
          </a:endParaRPr>
        </a:p>
      </xdr:txBody>
    </xdr:sp>
    <xdr:clientData/>
  </xdr:oneCellAnchor>
  <xdr:twoCellAnchor>
    <xdr:from>
      <xdr:col>10</xdr:col>
      <xdr:colOff>198438</xdr:colOff>
      <xdr:row>14</xdr:row>
      <xdr:rowOff>150812</xdr:rowOff>
    </xdr:from>
    <xdr:to>
      <xdr:col>13</xdr:col>
      <xdr:colOff>460374</xdr:colOff>
      <xdr:row>21</xdr:row>
      <xdr:rowOff>126999</xdr:rowOff>
    </xdr:to>
    <xdr:graphicFrame macro="">
      <xdr:nvGraphicFramePr>
        <xdr:cNvPr id="37" name="Chart 36">
          <a:extLst>
            <a:ext uri="{FF2B5EF4-FFF2-40B4-BE49-F238E27FC236}">
              <a16:creationId xmlns:a16="http://schemas.microsoft.com/office/drawing/2014/main" id="{F6510E74-5C4F-4F60-8617-87EDB1D2E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15</xdr:row>
      <xdr:rowOff>158751</xdr:rowOff>
    </xdr:from>
    <xdr:to>
      <xdr:col>2</xdr:col>
      <xdr:colOff>127000</xdr:colOff>
      <xdr:row>23</xdr:row>
      <xdr:rowOff>31751</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46DAE0AB-D167-4825-9715-0FB05242CE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016251"/>
              <a:ext cx="1349375"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15</xdr:col>
      <xdr:colOff>230187</xdr:colOff>
      <xdr:row>21</xdr:row>
      <xdr:rowOff>79375</xdr:rowOff>
    </xdr:from>
    <xdr:ext cx="913520" cy="201915"/>
    <xdr:sp macro="" textlink="">
      <xdr:nvSpPr>
        <xdr:cNvPr id="24" name="TextBox 23">
          <a:extLst>
            <a:ext uri="{FF2B5EF4-FFF2-40B4-BE49-F238E27FC236}">
              <a16:creationId xmlns:a16="http://schemas.microsoft.com/office/drawing/2014/main" id="{8416EDE0-7FD4-45BE-86F2-577A73F28972}"/>
            </a:ext>
          </a:extLst>
        </xdr:cNvPr>
        <xdr:cNvSpPr txBox="1"/>
      </xdr:nvSpPr>
      <xdr:spPr>
        <a:xfrm>
          <a:off x="9398000" y="4079875"/>
          <a:ext cx="913520"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i="1">
              <a:solidFill>
                <a:schemeClr val="bg2">
                  <a:lumMod val="25000"/>
                </a:schemeClr>
              </a:solidFill>
              <a:latin typeface="+mn-lt"/>
            </a:rPr>
            <a:t>By Thezett Analytics</a:t>
          </a:r>
        </a:p>
      </xdr:txBody>
    </xdr:sp>
    <xdr:clientData/>
  </xdr:oneCellAnchor>
  <xdr:twoCellAnchor>
    <xdr:from>
      <xdr:col>6</xdr:col>
      <xdr:colOff>190501</xdr:colOff>
      <xdr:row>5</xdr:row>
      <xdr:rowOff>174625</xdr:rowOff>
    </xdr:from>
    <xdr:to>
      <xdr:col>10</xdr:col>
      <xdr:colOff>23813</xdr:colOff>
      <xdr:row>12</xdr:row>
      <xdr:rowOff>111125</xdr:rowOff>
    </xdr:to>
    <xdr:graphicFrame macro="">
      <xdr:nvGraphicFramePr>
        <xdr:cNvPr id="43" name="Chart 42">
          <a:extLst>
            <a:ext uri="{FF2B5EF4-FFF2-40B4-BE49-F238E27FC236}">
              <a16:creationId xmlns:a16="http://schemas.microsoft.com/office/drawing/2014/main" id="{E7D32150-FBDE-42AF-B787-3D51846D7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119064</xdr:colOff>
      <xdr:row>5</xdr:row>
      <xdr:rowOff>7939</xdr:rowOff>
    </xdr:from>
    <xdr:to>
      <xdr:col>13</xdr:col>
      <xdr:colOff>444501</xdr:colOff>
      <xdr:row>12</xdr:row>
      <xdr:rowOff>71439</xdr:rowOff>
    </xdr:to>
    <xdr:graphicFrame macro="">
      <xdr:nvGraphicFramePr>
        <xdr:cNvPr id="44" name="Chart 43">
          <a:extLst>
            <a:ext uri="{FF2B5EF4-FFF2-40B4-BE49-F238E27FC236}">
              <a16:creationId xmlns:a16="http://schemas.microsoft.com/office/drawing/2014/main" id="{313403C3-3FA1-46FC-ACF9-926D7A223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222250</xdr:colOff>
      <xdr:row>4</xdr:row>
      <xdr:rowOff>127002</xdr:rowOff>
    </xdr:from>
    <xdr:to>
      <xdr:col>6</xdr:col>
      <xdr:colOff>103188</xdr:colOff>
      <xdr:row>12</xdr:row>
      <xdr:rowOff>79376</xdr:rowOff>
    </xdr:to>
    <xdr:graphicFrame macro="">
      <xdr:nvGraphicFramePr>
        <xdr:cNvPr id="36" name="Chart 35">
          <a:extLst>
            <a:ext uri="{FF2B5EF4-FFF2-40B4-BE49-F238E27FC236}">
              <a16:creationId xmlns:a16="http://schemas.microsoft.com/office/drawing/2014/main" id="{D2EB2449-0C3B-4888-8185-EA747DF1E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111124</xdr:rowOff>
    </xdr:from>
    <xdr:to>
      <xdr:col>2</xdr:col>
      <xdr:colOff>129646</xdr:colOff>
      <xdr:row>3</xdr:row>
      <xdr:rowOff>190499</xdr:rowOff>
    </xdr:to>
    <xdr:pic>
      <xdr:nvPicPr>
        <xdr:cNvPr id="9" name="Picture 8">
          <a:extLst>
            <a:ext uri="{FF2B5EF4-FFF2-40B4-BE49-F238E27FC236}">
              <a16:creationId xmlns:a16="http://schemas.microsoft.com/office/drawing/2014/main" id="{D2B0A0DD-2D3B-46FB-910D-C643CD60BF31}"/>
            </a:ext>
          </a:extLst>
        </xdr:cNvPr>
        <xdr:cNvPicPr>
          <a:picLocks noChangeAspect="1"/>
        </xdr:cNvPicPr>
      </xdr:nvPicPr>
      <xdr:blipFill>
        <a:blip xmlns:r="http://schemas.openxmlformats.org/officeDocument/2006/relationships" r:embed="rId16"/>
        <a:stretch>
          <a:fillRect/>
        </a:stretch>
      </xdr:blipFill>
      <xdr:spPr>
        <a:xfrm>
          <a:off x="0" y="111124"/>
          <a:ext cx="1352021" cy="650875"/>
        </a:xfrm>
        <a:prstGeom prst="rect">
          <a:avLst/>
        </a:prstGeom>
      </xdr:spPr>
    </xdr:pic>
    <xdr:clientData/>
  </xdr:twoCellAnchor>
  <xdr:twoCellAnchor>
    <xdr:from>
      <xdr:col>0</xdr:col>
      <xdr:colOff>246062</xdr:colOff>
      <xdr:row>6</xdr:row>
      <xdr:rowOff>134937</xdr:rowOff>
    </xdr:from>
    <xdr:to>
      <xdr:col>1</xdr:col>
      <xdr:colOff>468311</xdr:colOff>
      <xdr:row>7</xdr:row>
      <xdr:rowOff>166687</xdr:rowOff>
    </xdr:to>
    <xdr:sp macro="" textlink="">
      <xdr:nvSpPr>
        <xdr:cNvPr id="3" name="TextBox 2">
          <a:extLst>
            <a:ext uri="{FF2B5EF4-FFF2-40B4-BE49-F238E27FC236}">
              <a16:creationId xmlns:a16="http://schemas.microsoft.com/office/drawing/2014/main" id="{2D39E131-2AAF-45C3-8997-E2E9F47B38C0}"/>
            </a:ext>
          </a:extLst>
        </xdr:cNvPr>
        <xdr:cNvSpPr txBox="1"/>
      </xdr:nvSpPr>
      <xdr:spPr>
        <a:xfrm>
          <a:off x="246062" y="1277937"/>
          <a:ext cx="833437"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chemeClr val="bg1"/>
              </a:solidFill>
              <a:latin typeface="Georgia" panose="02040502050405020303" pitchFamily="18" charset="0"/>
            </a:rPr>
            <a:t>Insights</a:t>
          </a:r>
        </a:p>
      </xdr:txBody>
    </xdr:sp>
    <xdr:clientData/>
  </xdr:twoCellAnchor>
  <xdr:twoCellAnchor>
    <xdr:from>
      <xdr:col>0</xdr:col>
      <xdr:colOff>192087</xdr:colOff>
      <xdr:row>10</xdr:row>
      <xdr:rowOff>96838</xdr:rowOff>
    </xdr:from>
    <xdr:to>
      <xdr:col>1</xdr:col>
      <xdr:colOff>414336</xdr:colOff>
      <xdr:row>11</xdr:row>
      <xdr:rowOff>128588</xdr:rowOff>
    </xdr:to>
    <xdr:sp macro="" textlink="">
      <xdr:nvSpPr>
        <xdr:cNvPr id="40" name="TextBox 39">
          <a:extLst>
            <a:ext uri="{FF2B5EF4-FFF2-40B4-BE49-F238E27FC236}">
              <a16:creationId xmlns:a16="http://schemas.microsoft.com/office/drawing/2014/main" id="{C2ED0B0F-E700-4FF7-ADBF-9FFCEDCFCD76}"/>
            </a:ext>
          </a:extLst>
        </xdr:cNvPr>
        <xdr:cNvSpPr txBox="1"/>
      </xdr:nvSpPr>
      <xdr:spPr>
        <a:xfrm>
          <a:off x="192087" y="2001838"/>
          <a:ext cx="833437"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chemeClr val="bg1"/>
              </a:solidFill>
              <a:latin typeface="Georgia" panose="02040502050405020303" pitchFamily="18" charset="0"/>
            </a:rPr>
            <a:t>Email</a:t>
          </a:r>
          <a:r>
            <a:rPr lang="en-US" sz="1000" b="1" i="1" baseline="0">
              <a:solidFill>
                <a:schemeClr val="bg1"/>
              </a:solidFill>
              <a:latin typeface="Georgia" panose="02040502050405020303" pitchFamily="18" charset="0"/>
            </a:rPr>
            <a:t> us</a:t>
          </a:r>
          <a:endParaRPr lang="en-US" sz="1000" b="1" i="1">
            <a:solidFill>
              <a:schemeClr val="bg1"/>
            </a:solidFill>
            <a:latin typeface="Georgia" panose="02040502050405020303" pitchFamily="18" charset="0"/>
          </a:endParaRPr>
        </a:p>
      </xdr:txBody>
    </xdr:sp>
    <xdr:clientData/>
  </xdr:twoCellAnchor>
  <xdr:twoCellAnchor>
    <xdr:from>
      <xdr:col>0</xdr:col>
      <xdr:colOff>161924</xdr:colOff>
      <xdr:row>14</xdr:row>
      <xdr:rowOff>90488</xdr:rowOff>
    </xdr:from>
    <xdr:to>
      <xdr:col>1</xdr:col>
      <xdr:colOff>444500</xdr:colOff>
      <xdr:row>15</xdr:row>
      <xdr:rowOff>122238</xdr:rowOff>
    </xdr:to>
    <xdr:sp macro="" textlink="">
      <xdr:nvSpPr>
        <xdr:cNvPr id="41" name="TextBox 40">
          <a:extLst>
            <a:ext uri="{FF2B5EF4-FFF2-40B4-BE49-F238E27FC236}">
              <a16:creationId xmlns:a16="http://schemas.microsoft.com/office/drawing/2014/main" id="{C7298842-3C3B-4B7F-8B05-DD1DB467FC62}"/>
            </a:ext>
          </a:extLst>
        </xdr:cNvPr>
        <xdr:cNvSpPr txBox="1"/>
      </xdr:nvSpPr>
      <xdr:spPr>
        <a:xfrm>
          <a:off x="161924" y="2757488"/>
          <a:ext cx="893764"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chemeClr val="bg1"/>
              </a:solidFill>
              <a:latin typeface="Georgia" panose="02040502050405020303" pitchFamily="18" charset="0"/>
            </a:rPr>
            <a:t>Questions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99060</xdr:colOff>
      <xdr:row>0</xdr:row>
      <xdr:rowOff>49530</xdr:rowOff>
    </xdr:from>
    <xdr:to>
      <xdr:col>10</xdr:col>
      <xdr:colOff>390525</xdr:colOff>
      <xdr:row>36</xdr:row>
      <xdr:rowOff>123826</xdr:rowOff>
    </xdr:to>
    <xdr:sp macro="" textlink="">
      <xdr:nvSpPr>
        <xdr:cNvPr id="2" name="Rounded Rectangle 1">
          <a:extLst>
            <a:ext uri="{FF2B5EF4-FFF2-40B4-BE49-F238E27FC236}">
              <a16:creationId xmlns:a16="http://schemas.microsoft.com/office/drawing/2014/main" id="{00000000-0008-0000-1000-000002000000}"/>
            </a:ext>
          </a:extLst>
        </xdr:cNvPr>
        <xdr:cNvSpPr/>
      </xdr:nvSpPr>
      <xdr:spPr>
        <a:xfrm>
          <a:off x="99060" y="49530"/>
          <a:ext cx="6387465" cy="658939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5">
                  <a:lumMod val="50000"/>
                </a:schemeClr>
              </a:solidFill>
              <a:latin typeface="Arial" panose="020B0604020202020204" pitchFamily="34" charset="0"/>
              <a:cs typeface="Arial" panose="020B0604020202020204" pitchFamily="34" charset="0"/>
            </a:rPr>
            <a:t>GENERAL RECOMMENDATION/INSIGHTS</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-Focus sales campaigns in December and June to maximize peak season demand, and create promotions in February and April to lift low-season performance.</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-Encourage reps to operate in multiple cities to diversify markets and increase revenue opportunities.</a:t>
          </a:r>
        </a:p>
        <a:p>
          <a:pPr algn="l"/>
          <a:r>
            <a:rPr lang="en-US" sz="1100" b="0">
              <a:solidFill>
                <a:schemeClr val="accent5">
                  <a:lumMod val="50000"/>
                </a:schemeClr>
              </a:solidFill>
              <a:latin typeface="Arial" panose="020B0604020202020204" pitchFamily="34" charset="0"/>
              <a:cs typeface="Arial" panose="020B0604020202020204" pitchFamily="34" charset="0"/>
            </a:rPr>
            <a:t> </a:t>
          </a:r>
        </a:p>
        <a:p>
          <a:pPr algn="l"/>
          <a:r>
            <a:rPr lang="en-US" sz="1100" b="0">
              <a:solidFill>
                <a:schemeClr val="accent5">
                  <a:lumMod val="50000"/>
                </a:schemeClr>
              </a:solidFill>
              <a:latin typeface="Arial" panose="020B0604020202020204" pitchFamily="34" charset="0"/>
              <a:cs typeface="Arial" panose="020B0604020202020204" pitchFamily="34" charset="0"/>
            </a:rPr>
            <a:t>-Expand customer base for reps with only one client to reduce dependency risk and stabilize income.</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-Prioritize high-demand categories like Beverages across all regions to boost overall sales volume.</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-Develop marketing strategies for low-performing categories such as Baked goods, Dried fruits, and Candy to improve their contribution.</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-Introduce incentives for higher transaction values beyond the $0–$1000 range to grow average sales per order.</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-Provide cross-selling and upselling training to help reps increase product variety in each sale.</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-Allocate top-performing reps to high-potential cities like Los Angeles, Miami, and Portland for maximum impact.</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-Rotate product offerings by season to align with demand patterns and reduce off-peak slowdowns.</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-Implement regular performance reviews by city, customer, and category to quickly spot and act on growth opportunities.</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-Explore bundling slow-moving products with best-sellers to increase sales across all categories.</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-Strengthen partnerships with top customers while actively scouting for new leads to balance portfolio risk.</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83820</xdr:colOff>
      <xdr:row>0</xdr:row>
      <xdr:rowOff>76198</xdr:rowOff>
    </xdr:from>
    <xdr:to>
      <xdr:col>15</xdr:col>
      <xdr:colOff>119349</xdr:colOff>
      <xdr:row>54</xdr:row>
      <xdr:rowOff>95249</xdr:rowOff>
    </xdr:to>
    <xdr:sp macro="" textlink="">
      <xdr:nvSpPr>
        <xdr:cNvPr id="2" name="Rounded Rectangle 1">
          <a:extLst>
            <a:ext uri="{FF2B5EF4-FFF2-40B4-BE49-F238E27FC236}">
              <a16:creationId xmlns:a16="http://schemas.microsoft.com/office/drawing/2014/main" id="{00000000-0008-0000-0F00-000002000000}"/>
            </a:ext>
          </a:extLst>
        </xdr:cNvPr>
        <xdr:cNvSpPr/>
      </xdr:nvSpPr>
      <xdr:spPr>
        <a:xfrm>
          <a:off x="83820" y="76198"/>
          <a:ext cx="9124445" cy="9934232"/>
        </a:xfrm>
        <a:prstGeom prst="roundRect">
          <a:avLst/>
        </a:prstGeom>
        <a:solidFill>
          <a:sysClr val="window" lastClr="FFFFFF"/>
        </a:solidFill>
        <a:ln w="6350">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5">
                  <a:lumMod val="50000"/>
                </a:schemeClr>
              </a:solidFill>
              <a:latin typeface="Arial" panose="020B0604020202020204" pitchFamily="34" charset="0"/>
              <a:cs typeface="Arial" panose="020B0604020202020204" pitchFamily="34" charset="0"/>
            </a:rPr>
            <a:t>GENERAL OBSERVATION</a:t>
          </a:r>
        </a:p>
        <a:p>
          <a:pPr algn="l"/>
          <a:endParaRPr lang="en-US" sz="1100" b="0">
            <a:solidFill>
              <a:schemeClr val="accent5">
                <a:lumMod val="50000"/>
              </a:schemeClr>
            </a:solidFill>
            <a:latin typeface="Arial" panose="020B0604020202020204" pitchFamily="34" charset="0"/>
            <a:cs typeface="Arial" panose="020B0604020202020204" pitchFamily="34" charset="0"/>
          </a:endParaRPr>
        </a:p>
        <a:p>
          <a:pPr algn="l"/>
          <a:r>
            <a:rPr lang="en-US" sz="1100" b="0">
              <a:solidFill>
                <a:schemeClr val="accent5">
                  <a:lumMod val="50000"/>
                </a:schemeClr>
              </a:solidFill>
              <a:latin typeface="Arial" panose="020B0604020202020204" pitchFamily="34" charset="0"/>
              <a:cs typeface="Arial" panose="020B0604020202020204" pitchFamily="34" charset="0"/>
            </a:rPr>
            <a:t>- Andrew Cencini</a:t>
          </a:r>
          <a:r>
            <a:rPr lang="en-US" sz="1100" b="0" baseline="0">
              <a:solidFill>
                <a:schemeClr val="accent5">
                  <a:lumMod val="50000"/>
                </a:schemeClr>
              </a:solidFill>
              <a:latin typeface="Arial" panose="020B0604020202020204" pitchFamily="34" charset="0"/>
              <a:cs typeface="Arial" panose="020B0604020202020204" pitchFamily="34" charset="0"/>
            </a:rPr>
            <a:t> from the Eastern region of the country in New York, generated the revenue of $67,181 for the year 2014, June appered to be his best month with the revenue of $11,595 and April is the month he performed the least with the revenue of only $738. He sold products to only one customer which is Company D where the main products category is Jam with the sales of $41,391 followed by Dried fruits, Pasta and Grains. the product he sold the least is Baked goods with only $2,116 in sales and the best transaction amount is $0-$1000.</a:t>
          </a:r>
        </a:p>
        <a:p>
          <a:pPr algn="l"/>
          <a:endParaRPr lang="en-US" sz="1100" b="0" baseline="0">
            <a:solidFill>
              <a:schemeClr val="accent5">
                <a:lumMod val="50000"/>
              </a:schemeClr>
            </a:solidFill>
            <a:latin typeface="Arial" panose="020B0604020202020204" pitchFamily="34" charset="0"/>
            <a:cs typeface="Arial" panose="020B0604020202020204" pitchFamily="34" charset="0"/>
          </a:endParaRPr>
        </a:p>
        <a:p>
          <a:pPr algn="l"/>
          <a:r>
            <a:rPr lang="en-US" sz="1100" b="0" baseline="0">
              <a:solidFill>
                <a:schemeClr val="accent5">
                  <a:lumMod val="50000"/>
                </a:schemeClr>
              </a:solidFill>
              <a:latin typeface="Arial" panose="020B0604020202020204" pitchFamily="34" charset="0"/>
              <a:cs typeface="Arial" panose="020B0604020202020204" pitchFamily="34" charset="0"/>
            </a:rPr>
            <a:t>-Anne Larsen with the revenue of $93,858, from the Southern region has worked in 2 different cities, Miami, Florida where she generated $50,145 and Memphis, Tennessee where she generated $43,713. December appeared to be her best month where she generated the revenue of $12,458 and September her lowest with $4,629. Anne has 3 customers, Company BB, Company Z and Company K. Company BB being her best customer which generated $43,713 and the customer is from Memphis. She has sales in all the product category but made the must sales in Beverages where she made the sales of $29,278 and made the lowest sale in Dried fruits with only $1,687 sales. Her best transaction by amount is $0-$1000.</a:t>
          </a:r>
        </a:p>
        <a:p>
          <a:pPr algn="l"/>
          <a:endParaRPr lang="en-US" sz="1100" b="0" baseline="0">
            <a:solidFill>
              <a:schemeClr val="accent5">
                <a:lumMod val="50000"/>
              </a:schemeClr>
            </a:solidFill>
            <a:latin typeface="Arial" panose="020B0604020202020204" pitchFamily="34" charset="0"/>
            <a:cs typeface="Arial" panose="020B0604020202020204" pitchFamily="34" charset="0"/>
          </a:endParaRPr>
        </a:p>
        <a:p>
          <a:pPr algn="l"/>
          <a:r>
            <a:rPr lang="en-US" sz="1100" b="0" baseline="0">
              <a:solidFill>
                <a:schemeClr val="accent5">
                  <a:lumMod val="50000"/>
                </a:schemeClr>
              </a:solidFill>
              <a:latin typeface="Arial" panose="020B0604020202020204" pitchFamily="34" charset="0"/>
              <a:cs typeface="Arial" panose="020B0604020202020204" pitchFamily="34" charset="0"/>
            </a:rPr>
            <a:t>-Jan Kotas is the least performing salesperson for the year 2014 with $61,351 revenue. He is from the Western region in Denver, Colorado. Sold product to only one customer, Company CC. June was the month he performed best, he generated $4,928 and had a sharp turn in July which is his worst month with only $322 revenue generated. He sold only 3 product categories which Beverages &amp; Fruits had almost same value in sales which are $6,986 and $6,942 respectively and Candy with $2,423 in sales as the least. His best transaction by amount is also $0-$1000.</a:t>
          </a:r>
        </a:p>
        <a:p>
          <a:pPr algn="l"/>
          <a:endParaRPr lang="en-US" sz="1100" b="0" baseline="0">
            <a:solidFill>
              <a:schemeClr val="accent5">
                <a:lumMod val="50000"/>
              </a:schemeClr>
            </a:solidFill>
            <a:latin typeface="Arial" panose="020B0604020202020204" pitchFamily="34" charset="0"/>
            <a:cs typeface="Arial" panose="020B0604020202020204" pitchFamily="34" charset="0"/>
          </a:endParaRPr>
        </a:p>
        <a:p>
          <a:pPr algn="l"/>
          <a:r>
            <a:rPr lang="en-US" sz="1100" b="0" baseline="0">
              <a:solidFill>
                <a:schemeClr val="accent5">
                  <a:lumMod val="50000"/>
                </a:schemeClr>
              </a:solidFill>
              <a:latin typeface="Arial" panose="020B0604020202020204" pitchFamily="34" charset="0"/>
              <a:cs typeface="Arial" panose="020B0604020202020204" pitchFamily="34" charset="0"/>
            </a:rPr>
            <a:t>-Laura Guissani has $41,095 revenue is from the Eastern Region in Chicago, Illinois. June is the month she performed the best with $6,701 and performed the least in march where she generated only $1,084. Her best selling product is Condiments with $15,048 revenue and the least being Beverages with only $924 revenue which she sold to 2 customers, Company J and company Y with $28,133 and $11,962 revenue respectively. Her best transaction by amount is also $0-$1000.</a:t>
          </a:r>
        </a:p>
        <a:p>
          <a:pPr algn="l"/>
          <a:endParaRPr lang="en-US" sz="1100" b="0" baseline="0">
            <a:solidFill>
              <a:schemeClr val="accent5">
                <a:lumMod val="50000"/>
              </a:schemeClr>
            </a:solidFill>
            <a:latin typeface="Arial" panose="020B0604020202020204" pitchFamily="34" charset="0"/>
            <a:cs typeface="Arial" panose="020B0604020202020204" pitchFamily="34" charset="0"/>
          </a:endParaRPr>
        </a:p>
        <a:p>
          <a:pPr algn="l"/>
          <a:r>
            <a:rPr lang="en-US" sz="1100" b="0" baseline="0">
              <a:solidFill>
                <a:schemeClr val="accent5">
                  <a:lumMod val="50000"/>
                </a:schemeClr>
              </a:solidFill>
              <a:latin typeface="Arial" panose="020B0604020202020204" pitchFamily="34" charset="0"/>
              <a:cs typeface="Arial" panose="020B0604020202020204" pitchFamily="34" charset="0"/>
            </a:rPr>
            <a:t>-Mariya Sergienko with the revenue of $42,371 is from the Western region of the country and worked in 2 different cities, los Angeles, California where she performed the best and generated the revenue of $27,005 and Las Vegas, Nevada where she generated the revenue of $15,366. Mariya performed the best in December and generated the revenue of $7,653 and performed the least in November where the revenue was only $1,320. Her best product category is Suaces with $18,080 in sales and sold in the amount between $0-$1000 where she sold to 3 different customers, Company C, Company L and Company AA with the sales of $27,005, $14,074 and $1,292 respectively. Company C appears to br from Los Angeles</a:t>
          </a:r>
        </a:p>
        <a:p>
          <a:pPr algn="l"/>
          <a:endParaRPr lang="en-US" sz="1100" b="0" baseline="0">
            <a:solidFill>
              <a:schemeClr val="accent5">
                <a:lumMod val="50000"/>
              </a:schemeClr>
            </a:solidFill>
            <a:latin typeface="Arial" panose="020B0604020202020204" pitchFamily="34" charset="0"/>
            <a:cs typeface="Arial" panose="020B0604020202020204" pitchFamily="34" charset="0"/>
          </a:endParaRPr>
        </a:p>
        <a:p>
          <a:pPr algn="l"/>
          <a:r>
            <a:rPr lang="en-US" sz="1100" b="0" baseline="0">
              <a:solidFill>
                <a:schemeClr val="accent5">
                  <a:lumMod val="50000"/>
                </a:schemeClr>
              </a:solidFill>
              <a:latin typeface="Arial" panose="020B0604020202020204" pitchFamily="34" charset="0"/>
              <a:cs typeface="Arial" panose="020B0604020202020204" pitchFamily="34" charset="0"/>
            </a:rPr>
            <a:t>-Michael Neipper has revenue of $37,428 and is from the Northern region in Milwaukee, Wisconsin. He performed best in October where he generated the revenue of $6,739 and performed the least in April where he generated $680 in revenue. He sold products to only 1 customer, Company F and sold the following product categories; Beverages, Sauces, candy, and Dried fruits. Beverages appeared to be the best with $10,178 with not much difference between all. Shipping fee error appeared in the detail of this salesperson.</a:t>
          </a:r>
        </a:p>
        <a:p>
          <a:pPr algn="l"/>
          <a:endParaRPr lang="en-US" sz="1100" b="0" baseline="0">
            <a:solidFill>
              <a:schemeClr val="accent5">
                <a:lumMod val="50000"/>
              </a:schemeClr>
            </a:solidFill>
            <a:latin typeface="Arial" panose="020B0604020202020204" pitchFamily="34" charset="0"/>
            <a:cs typeface="Arial" panose="020B0604020202020204" pitchFamily="34" charset="0"/>
          </a:endParaRPr>
        </a:p>
        <a:p>
          <a:pPr algn="l"/>
          <a:r>
            <a:rPr lang="en-US" sz="1100" b="0" baseline="0">
              <a:solidFill>
                <a:schemeClr val="accent5">
                  <a:lumMod val="50000"/>
                </a:schemeClr>
              </a:solidFill>
              <a:latin typeface="Arial" panose="020B0604020202020204" pitchFamily="34" charset="0"/>
              <a:cs typeface="Arial" panose="020B0604020202020204" pitchFamily="34" charset="0"/>
            </a:rPr>
            <a:t>-Nancy Freehafer is the best performing rep of the year 2014, with $104,252 revenue is from the Northern region and worked in 3 different cities, Portland, Oregon where she generated $50,208 revenue, Seatle, Washington where she generated $36,839 and Boise, Idaho where she generated $17,204. Nancy performed best in December with revenue of $16,174 generated and she performed the least in February which she generated $1,695. Her best transaction by amount is between $0-$1000 in which she made 45 sales in it. Her best product category is Beverages with $47,696 and the least being Baked goods &amp; mixes with $6,256 in sales which she sold to 3 customers, Company H, Company A and Company G with the revenue of $50,208, $36,840 and $17,204 respectively, Company H being the best among her customers. Nancy's overall performance through the months isn't quite bad and she performed really well in all the cities she has worked in.</a:t>
          </a:r>
        </a:p>
        <a:p>
          <a:pPr algn="l"/>
          <a:endParaRPr lang="en-US" sz="1100" b="0" baseline="0">
            <a:solidFill>
              <a:schemeClr val="accent5">
                <a:lumMod val="50000"/>
              </a:schemeClr>
            </a:solidFill>
            <a:latin typeface="Arial" panose="020B0604020202020204" pitchFamily="34" charset="0"/>
            <a:cs typeface="Arial" panose="020B0604020202020204" pitchFamily="34" charset="0"/>
          </a:endParaRPr>
        </a:p>
        <a:p>
          <a:pPr algn="l"/>
          <a:r>
            <a:rPr lang="en-US" sz="1100" b="0" baseline="0">
              <a:solidFill>
                <a:schemeClr val="accent5">
                  <a:lumMod val="50000"/>
                </a:schemeClr>
              </a:solidFill>
              <a:latin typeface="Arial" panose="020B0604020202020204" pitchFamily="34" charset="0"/>
              <a:cs typeface="Arial" panose="020B0604020202020204" pitchFamily="34" charset="0"/>
            </a:rPr>
            <a:t>-Robert Zare has $32,532 revenue, is from the Western region in the city of Salt Lake City, Utah. He performed best in October where he generated the revenue of $4,543 and performed least in February where he generated $261. He has only 1 customer, Company I and sold products in the price range of $0-$2000 which he is the only one that has the best sales in that price range. the products he sold are Diary products which is his best with $18,444 revenue, Pasta with $11,057 and Soups with $3,030 revenue generated.</a:t>
          </a:r>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65.550980324071" createdVersion="6" refreshedVersion="6" minRefreshableVersion="3" recordCount="369" xr:uid="{00000000-000A-0000-FFFF-FFFF00000000}">
  <cacheSource type="worksheet">
    <worksheetSource ref="A1:Z370" sheet="Raw Data"/>
  </cacheSource>
  <cacheFields count="27">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 name="Months"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A3:B14"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x="0"/>
        <item x="1"/>
        <item x="2"/>
        <item x="3"/>
        <item x="4"/>
        <item x="5"/>
        <item x="6"/>
        <item x="7"/>
        <item x="8"/>
        <item x="9"/>
        <item x="10"/>
        <item x="11"/>
        <item x="12"/>
        <item x="13"/>
      </items>
    </pivotField>
  </pivotFields>
  <rowFields count="1">
    <field x="3"/>
  </rowFields>
  <rowItems count="11">
    <i>
      <x v="5"/>
    </i>
    <i>
      <x v="8"/>
    </i>
    <i>
      <x v="2"/>
    </i>
    <i>
      <x v="6"/>
    </i>
    <i>
      <x/>
    </i>
    <i>
      <x v="9"/>
    </i>
    <i>
      <x v="10"/>
    </i>
    <i>
      <x v="14"/>
    </i>
    <i>
      <x v="3"/>
    </i>
    <i>
      <x v="11"/>
    </i>
    <i t="grand">
      <x/>
    </i>
  </rowItems>
  <colItems count="1">
    <i/>
  </colItems>
  <dataFields count="1">
    <dataField name="Sum of Revenue" fld="24" showDataAs="percentOfTotal" baseField="0" baseItem="0" numFmtId="10"/>
  </dataFields>
  <formats count="4">
    <format dxfId="38">
      <pivotArea outline="0" collapsedLevelsAreSubtotals="1" fieldPosition="0"/>
    </format>
    <format dxfId="37">
      <pivotArea dataOnly="0" labelOnly="1" outline="0" axis="axisValues" fieldPosition="0"/>
    </format>
    <format dxfId="36">
      <pivotArea dataOnly="0" labelOnly="1" outline="0" axis="axisValues" fieldPosition="0"/>
    </format>
    <format dxfId="35">
      <pivotArea outline="0" fieldPosition="0">
        <references count="1">
          <reference field="4294967294" count="1">
            <x v="0"/>
          </reference>
        </references>
      </pivotArea>
    </format>
  </formats>
  <chartFormats count="30">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8"/>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9"/>
          </reference>
        </references>
      </pivotArea>
    </chartFormat>
    <chartFormat chart="0" format="8">
      <pivotArea type="data" outline="0" fieldPosition="0">
        <references count="2">
          <reference field="4294967294" count="1" selected="0">
            <x v="0"/>
          </reference>
          <reference field="3" count="1" selected="0">
            <x v="10"/>
          </reference>
        </references>
      </pivotArea>
    </chartFormat>
    <chartFormat chart="0" format="9">
      <pivotArea type="data" outline="0" fieldPosition="0">
        <references count="2">
          <reference field="4294967294" count="1" selected="0">
            <x v="0"/>
          </reference>
          <reference field="3" count="1" selected="0">
            <x v="14"/>
          </reference>
        </references>
      </pivotArea>
    </chartFormat>
    <chartFormat chart="0" format="10">
      <pivotArea type="data" outline="0" fieldPosition="0">
        <references count="2">
          <reference field="4294967294" count="1" selected="0">
            <x v="0"/>
          </reference>
          <reference field="3" count="1" selected="0">
            <x v="3"/>
          </reference>
        </references>
      </pivotArea>
    </chartFormat>
    <chartFormat chart="0" format="11">
      <pivotArea type="data" outline="0" fieldPosition="0">
        <references count="2">
          <reference field="4294967294" count="1" selected="0">
            <x v="0"/>
          </reference>
          <reference field="3" count="1" selected="0">
            <x v="11"/>
          </reference>
        </references>
      </pivotArea>
    </chartFormat>
    <chartFormat chart="0" format="13"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 count="1" selected="0">
            <x v="5"/>
          </reference>
        </references>
      </pivotArea>
    </chartFormat>
    <chartFormat chart="3" format="16">
      <pivotArea type="data" outline="0" fieldPosition="0">
        <references count="2">
          <reference field="4294967294" count="1" selected="0">
            <x v="0"/>
          </reference>
          <reference field="3" count="1" selected="0">
            <x v="8"/>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3" count="1" selected="0">
            <x v="5"/>
          </reference>
        </references>
      </pivotArea>
    </chartFormat>
    <chartFormat chart="4" format="20">
      <pivotArea type="data" outline="0" fieldPosition="0">
        <references count="2">
          <reference field="4294967294" count="1" selected="0">
            <x v="0"/>
          </reference>
          <reference field="3" count="1" selected="0">
            <x v="8"/>
          </reference>
        </references>
      </pivotArea>
    </chartFormat>
    <chartFormat chart="4" format="21">
      <pivotArea type="data" outline="0" fieldPosition="0">
        <references count="2">
          <reference field="4294967294" count="1" selected="0">
            <x v="0"/>
          </reference>
          <reference field="3" count="1" selected="0">
            <x v="2"/>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3" count="1" selected="0">
            <x v="5"/>
          </reference>
        </references>
      </pivotArea>
    </chartFormat>
    <chartFormat chart="6" format="24">
      <pivotArea type="data" outline="0" fieldPosition="0">
        <references count="2">
          <reference field="4294967294" count="1" selected="0">
            <x v="0"/>
          </reference>
          <reference field="3" count="1" selected="0">
            <x v="8"/>
          </reference>
        </references>
      </pivotArea>
    </chartFormat>
    <chartFormat chart="6" format="25">
      <pivotArea type="data" outline="0" fieldPosition="0">
        <references count="2">
          <reference field="4294967294" count="1" selected="0">
            <x v="0"/>
          </reference>
          <reference field="3" count="1" selected="0">
            <x v="2"/>
          </reference>
        </references>
      </pivotArea>
    </chartFormat>
    <chartFormat chart="3" format="18">
      <pivotArea type="data" outline="0" fieldPosition="0">
        <references count="2">
          <reference field="4294967294" count="1" selected="0">
            <x v="0"/>
          </reference>
          <reference field="3" count="1" selected="0">
            <x v="6"/>
          </reference>
        </references>
      </pivotArea>
    </chartFormat>
    <chartFormat chart="3" format="19">
      <pivotArea type="data" outline="0" fieldPosition="0">
        <references count="2">
          <reference field="4294967294" count="1" selected="0">
            <x v="0"/>
          </reference>
          <reference field="3" count="1" selected="0">
            <x v="0"/>
          </reference>
        </references>
      </pivotArea>
    </chartFormat>
    <chartFormat chart="3" format="20">
      <pivotArea type="data" outline="0" fieldPosition="0">
        <references count="2">
          <reference field="4294967294" count="1" selected="0">
            <x v="0"/>
          </reference>
          <reference field="3" count="1" selected="0">
            <x v="9"/>
          </reference>
        </references>
      </pivotArea>
    </chartFormat>
    <chartFormat chart="3" format="21">
      <pivotArea type="data" outline="0" fieldPosition="0">
        <references count="2">
          <reference field="4294967294" count="1" selected="0">
            <x v="0"/>
          </reference>
          <reference field="3" count="1" selected="0">
            <x v="10"/>
          </reference>
        </references>
      </pivotArea>
    </chartFormat>
    <chartFormat chart="3" format="22">
      <pivotArea type="data" outline="0" fieldPosition="0">
        <references count="2">
          <reference field="4294967294" count="1" selected="0">
            <x v="0"/>
          </reference>
          <reference field="3" count="1" selected="0">
            <x v="14"/>
          </reference>
        </references>
      </pivotArea>
    </chartFormat>
    <chartFormat chart="3" format="23">
      <pivotArea type="data" outline="0" fieldPosition="0">
        <references count="2">
          <reference field="4294967294" count="1" selected="0">
            <x v="0"/>
          </reference>
          <reference field="3" count="1" selected="0">
            <x v="3"/>
          </reference>
        </references>
      </pivotArea>
    </chartFormat>
    <chartFormat chart="3" format="24">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A527EF-9407-4D9A-81D8-CB2BA00C502E}"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2">
  <location ref="A3:B7"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x="0"/>
        <item x="1"/>
        <item x="2"/>
        <item x="3"/>
        <item x="4"/>
        <item x="5"/>
        <item x="6"/>
        <item x="7"/>
        <item x="8"/>
        <item x="9"/>
        <item x="10"/>
        <item x="11"/>
        <item x="12"/>
        <item x="13"/>
      </items>
    </pivotField>
  </pivotFields>
  <rowFields count="1">
    <field x="3"/>
  </rowFields>
  <rowItems count="4">
    <i>
      <x v="5"/>
    </i>
    <i>
      <x v="8"/>
    </i>
    <i>
      <x v="2"/>
    </i>
    <i t="grand">
      <x/>
    </i>
  </rowItems>
  <colItems count="1">
    <i/>
  </colItems>
  <dataFields count="1">
    <dataField name="Sum of Revenue" fld="24" showDataAs="percentOfTotal" baseField="0" baseItem="0" numFmtId="10"/>
  </dataFields>
  <formats count="4">
    <format dxfId="34">
      <pivotArea outline="0" collapsedLevelsAreSubtotals="1" fieldPosition="0"/>
    </format>
    <format dxfId="33">
      <pivotArea dataOnly="0" labelOnly="1" outline="0" axis="axisValues" fieldPosition="0"/>
    </format>
    <format dxfId="32">
      <pivotArea dataOnly="0" labelOnly="1" outline="0" axis="axisValues" fieldPosition="0"/>
    </format>
    <format dxfId="31">
      <pivotArea outline="0" fieldPosition="0">
        <references count="1">
          <reference field="4294967294" count="1">
            <x v="0"/>
          </reference>
        </references>
      </pivotArea>
    </format>
  </formats>
  <chartFormats count="61">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8"/>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9"/>
          </reference>
        </references>
      </pivotArea>
    </chartFormat>
    <chartFormat chart="0" format="8">
      <pivotArea type="data" outline="0" fieldPosition="0">
        <references count="2">
          <reference field="4294967294" count="1" selected="0">
            <x v="0"/>
          </reference>
          <reference field="3" count="1" selected="0">
            <x v="10"/>
          </reference>
        </references>
      </pivotArea>
    </chartFormat>
    <chartFormat chart="0" format="9">
      <pivotArea type="data" outline="0" fieldPosition="0">
        <references count="2">
          <reference field="4294967294" count="1" selected="0">
            <x v="0"/>
          </reference>
          <reference field="3" count="1" selected="0">
            <x v="14"/>
          </reference>
        </references>
      </pivotArea>
    </chartFormat>
    <chartFormat chart="0" format="10">
      <pivotArea type="data" outline="0" fieldPosition="0">
        <references count="2">
          <reference field="4294967294" count="1" selected="0">
            <x v="0"/>
          </reference>
          <reference field="3" count="1" selected="0">
            <x v="3"/>
          </reference>
        </references>
      </pivotArea>
    </chartFormat>
    <chartFormat chart="0" format="11">
      <pivotArea type="data" outline="0" fieldPosition="0">
        <references count="2">
          <reference field="4294967294" count="1" selected="0">
            <x v="0"/>
          </reference>
          <reference field="3" count="1" selected="0">
            <x v="11"/>
          </reference>
        </references>
      </pivotArea>
    </chartFormat>
    <chartFormat chart="0" format="13" series="1">
      <pivotArea type="data" outline="0" fieldPosition="0">
        <references count="1">
          <reference field="4294967294" count="1" selected="0">
            <x v="0"/>
          </reference>
        </references>
      </pivotArea>
    </chartFormat>
    <chartFormat chart="2" format="25" series="1">
      <pivotArea type="data" outline="0" fieldPosition="0">
        <references count="1">
          <reference field="4294967294" count="1" selected="0">
            <x v="0"/>
          </reference>
        </references>
      </pivotArea>
    </chartFormat>
    <chartFormat chart="2" format="26">
      <pivotArea type="data" outline="0" fieldPosition="0">
        <references count="2">
          <reference field="4294967294" count="1" selected="0">
            <x v="0"/>
          </reference>
          <reference field="3" count="1" selected="0">
            <x v="5"/>
          </reference>
        </references>
      </pivotArea>
    </chartFormat>
    <chartFormat chart="2" format="27">
      <pivotArea type="data" outline="0" fieldPosition="0">
        <references count="2">
          <reference field="4294967294" count="1" selected="0">
            <x v="0"/>
          </reference>
          <reference field="3" count="1" selected="0">
            <x v="8"/>
          </reference>
        </references>
      </pivotArea>
    </chartFormat>
    <chartFormat chart="2" format="28">
      <pivotArea type="data" outline="0" fieldPosition="0">
        <references count="2">
          <reference field="4294967294" count="1" selected="0">
            <x v="0"/>
          </reference>
          <reference field="3" count="1" selected="0">
            <x v="2"/>
          </reference>
        </references>
      </pivotArea>
    </chartFormat>
    <chartFormat chart="2" format="29">
      <pivotArea type="data" outline="0" fieldPosition="0">
        <references count="2">
          <reference field="4294967294" count="1" selected="0">
            <x v="0"/>
          </reference>
          <reference field="3" count="1" selected="0">
            <x v="6"/>
          </reference>
        </references>
      </pivotArea>
    </chartFormat>
    <chartFormat chart="2" format="30">
      <pivotArea type="data" outline="0" fieldPosition="0">
        <references count="2">
          <reference field="4294967294" count="1" selected="0">
            <x v="0"/>
          </reference>
          <reference field="3" count="1" selected="0">
            <x v="0"/>
          </reference>
        </references>
      </pivotArea>
    </chartFormat>
    <chartFormat chart="2" format="31">
      <pivotArea type="data" outline="0" fieldPosition="0">
        <references count="2">
          <reference field="4294967294" count="1" selected="0">
            <x v="0"/>
          </reference>
          <reference field="3" count="1" selected="0">
            <x v="9"/>
          </reference>
        </references>
      </pivotArea>
    </chartFormat>
    <chartFormat chart="2" format="32">
      <pivotArea type="data" outline="0" fieldPosition="0">
        <references count="2">
          <reference field="4294967294" count="1" selected="0">
            <x v="0"/>
          </reference>
          <reference field="3" count="1" selected="0">
            <x v="10"/>
          </reference>
        </references>
      </pivotArea>
    </chartFormat>
    <chartFormat chart="2" format="33">
      <pivotArea type="data" outline="0" fieldPosition="0">
        <references count="2">
          <reference field="4294967294" count="1" selected="0">
            <x v="0"/>
          </reference>
          <reference field="3" count="1" selected="0">
            <x v="14"/>
          </reference>
        </references>
      </pivotArea>
    </chartFormat>
    <chartFormat chart="2" format="34">
      <pivotArea type="data" outline="0" fieldPosition="0">
        <references count="2">
          <reference field="4294967294" count="1" selected="0">
            <x v="0"/>
          </reference>
          <reference field="3" count="1" selected="0">
            <x v="3"/>
          </reference>
        </references>
      </pivotArea>
    </chartFormat>
    <chartFormat chart="2" format="35">
      <pivotArea type="data" outline="0" fieldPosition="0">
        <references count="2">
          <reference field="4294967294" count="1" selected="0">
            <x v="0"/>
          </reference>
          <reference field="3" count="1" selected="0">
            <x v="1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 count="1" selected="0">
            <x v="5"/>
          </reference>
        </references>
      </pivotArea>
    </chartFormat>
    <chartFormat chart="3" format="16">
      <pivotArea type="data" outline="0" fieldPosition="0">
        <references count="2">
          <reference field="4294967294" count="1" selected="0">
            <x v="0"/>
          </reference>
          <reference field="3" count="1" selected="0">
            <x v="8"/>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3" count="1" selected="0">
            <x v="5"/>
          </reference>
        </references>
      </pivotArea>
    </chartFormat>
    <chartFormat chart="4" format="20">
      <pivotArea type="data" outline="0" fieldPosition="0">
        <references count="2">
          <reference field="4294967294" count="1" selected="0">
            <x v="0"/>
          </reference>
          <reference field="3" count="1" selected="0">
            <x v="8"/>
          </reference>
        </references>
      </pivotArea>
    </chartFormat>
    <chartFormat chart="4" format="21">
      <pivotArea type="data" outline="0" fieldPosition="0">
        <references count="2">
          <reference field="4294967294" count="1" selected="0">
            <x v="0"/>
          </reference>
          <reference field="3" count="1" selected="0">
            <x v="2"/>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3" count="1" selected="0">
            <x v="5"/>
          </reference>
        </references>
      </pivotArea>
    </chartFormat>
    <chartFormat chart="6" format="24">
      <pivotArea type="data" outline="0" fieldPosition="0">
        <references count="2">
          <reference field="4294967294" count="1" selected="0">
            <x v="0"/>
          </reference>
          <reference field="3" count="1" selected="0">
            <x v="8"/>
          </reference>
        </references>
      </pivotArea>
    </chartFormat>
    <chartFormat chart="6" format="25">
      <pivotArea type="data" outline="0" fieldPosition="0">
        <references count="2">
          <reference field="4294967294" count="1" selected="0">
            <x v="0"/>
          </reference>
          <reference field="3" count="1" selected="0">
            <x v="2"/>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3" count="1" selected="0">
            <x v="5"/>
          </reference>
        </references>
      </pivotArea>
    </chartFormat>
    <chartFormat chart="7" format="16">
      <pivotArea type="data" outline="0" fieldPosition="0">
        <references count="2">
          <reference field="4294967294" count="1" selected="0">
            <x v="0"/>
          </reference>
          <reference field="3" count="1" selected="0">
            <x v="8"/>
          </reference>
        </references>
      </pivotArea>
    </chartFormat>
    <chartFormat chart="7" format="17">
      <pivotArea type="data" outline="0" fieldPosition="0">
        <references count="2">
          <reference field="4294967294" count="1" selected="0">
            <x v="0"/>
          </reference>
          <reference field="3"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3" count="1" selected="0">
            <x v="5"/>
          </reference>
        </references>
      </pivotArea>
    </chartFormat>
    <chartFormat chart="8" format="20">
      <pivotArea type="data" outline="0" fieldPosition="0">
        <references count="2">
          <reference field="4294967294" count="1" selected="0">
            <x v="0"/>
          </reference>
          <reference field="3" count="1" selected="0">
            <x v="8"/>
          </reference>
        </references>
      </pivotArea>
    </chartFormat>
    <chartFormat chart="8" format="21">
      <pivotArea type="data" outline="0" fieldPosition="0">
        <references count="2">
          <reference field="4294967294" count="1" selected="0">
            <x v="0"/>
          </reference>
          <reference field="3" count="1" selected="0">
            <x v="2"/>
          </reference>
        </references>
      </pivotArea>
    </chartFormat>
    <chartFormat chart="8" format="22">
      <pivotArea type="data" outline="0" fieldPosition="0">
        <references count="2">
          <reference field="4294967294" count="1" selected="0">
            <x v="0"/>
          </reference>
          <reference field="3" count="1" selected="0">
            <x v="6"/>
          </reference>
        </references>
      </pivotArea>
    </chartFormat>
    <chartFormat chart="8" format="23">
      <pivotArea type="data" outline="0" fieldPosition="0">
        <references count="2">
          <reference field="4294967294" count="1" selected="0">
            <x v="0"/>
          </reference>
          <reference field="3" count="1" selected="0">
            <x v="0"/>
          </reference>
        </references>
      </pivotArea>
    </chartFormat>
    <chartFormat chart="8" format="24">
      <pivotArea type="data" outline="0" fieldPosition="0">
        <references count="2">
          <reference field="4294967294" count="1" selected="0">
            <x v="0"/>
          </reference>
          <reference field="3" count="1" selected="0">
            <x v="9"/>
          </reference>
        </references>
      </pivotArea>
    </chartFormat>
    <chartFormat chart="8" format="25">
      <pivotArea type="data" outline="0" fieldPosition="0">
        <references count="2">
          <reference field="4294967294" count="1" selected="0">
            <x v="0"/>
          </reference>
          <reference field="3" count="1" selected="0">
            <x v="10"/>
          </reference>
        </references>
      </pivotArea>
    </chartFormat>
    <chartFormat chart="8" format="26">
      <pivotArea type="data" outline="0" fieldPosition="0">
        <references count="2">
          <reference field="4294967294" count="1" selected="0">
            <x v="0"/>
          </reference>
          <reference field="3" count="1" selected="0">
            <x v="14"/>
          </reference>
        </references>
      </pivotArea>
    </chartFormat>
    <chartFormat chart="8" format="27">
      <pivotArea type="data" outline="0" fieldPosition="0">
        <references count="2">
          <reference field="4294967294" count="1" selected="0">
            <x v="0"/>
          </reference>
          <reference field="3" count="1" selected="0">
            <x v="3"/>
          </reference>
        </references>
      </pivotArea>
    </chartFormat>
    <chartFormat chart="8" format="28">
      <pivotArea type="data" outline="0" fieldPosition="0">
        <references count="2">
          <reference field="4294967294" count="1" selected="0">
            <x v="0"/>
          </reference>
          <reference field="3" count="1" selected="0">
            <x v="11"/>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3" count="1" selected="0">
            <x v="5"/>
          </reference>
        </references>
      </pivotArea>
    </chartFormat>
    <chartFormat chart="9" format="24">
      <pivotArea type="data" outline="0" fieldPosition="0">
        <references count="2">
          <reference field="4294967294" count="1" selected="0">
            <x v="0"/>
          </reference>
          <reference field="3" count="1" selected="0">
            <x v="8"/>
          </reference>
        </references>
      </pivotArea>
    </chartFormat>
    <chartFormat chart="9" format="25">
      <pivotArea type="data" outline="0" fieldPosition="0">
        <references count="2">
          <reference field="4294967294" count="1" selected="0">
            <x v="0"/>
          </reference>
          <reference field="3" count="1" selected="0">
            <x v="2"/>
          </reference>
        </references>
      </pivotArea>
    </chartFormat>
    <chartFormat chart="10" format="29" series="1">
      <pivotArea type="data" outline="0" fieldPosition="0">
        <references count="1">
          <reference field="4294967294" count="1" selected="0">
            <x v="0"/>
          </reference>
        </references>
      </pivotArea>
    </chartFormat>
    <chartFormat chart="10" format="30">
      <pivotArea type="data" outline="0" fieldPosition="0">
        <references count="2">
          <reference field="4294967294" count="1" selected="0">
            <x v="0"/>
          </reference>
          <reference field="3" count="1" selected="0">
            <x v="5"/>
          </reference>
        </references>
      </pivotArea>
    </chartFormat>
    <chartFormat chart="10" format="31">
      <pivotArea type="data" outline="0" fieldPosition="0">
        <references count="2">
          <reference field="4294967294" count="1" selected="0">
            <x v="0"/>
          </reference>
          <reference field="3" count="1" selected="0">
            <x v="8"/>
          </reference>
        </references>
      </pivotArea>
    </chartFormat>
    <chartFormat chart="10" format="32">
      <pivotArea type="data" outline="0" fieldPosition="0">
        <references count="2">
          <reference field="4294967294" count="1" selected="0">
            <x v="0"/>
          </reference>
          <reference field="3" count="1" selected="0">
            <x v="2"/>
          </reference>
        </references>
      </pivotArea>
    </chartFormat>
    <chartFormat chart="11" format="33" series="1">
      <pivotArea type="data" outline="0" fieldPosition="0">
        <references count="1">
          <reference field="4294967294" count="1" selected="0">
            <x v="0"/>
          </reference>
        </references>
      </pivotArea>
    </chartFormat>
    <chartFormat chart="11" format="34">
      <pivotArea type="data" outline="0" fieldPosition="0">
        <references count="2">
          <reference field="4294967294" count="1" selected="0">
            <x v="0"/>
          </reference>
          <reference field="3" count="1" selected="0">
            <x v="5"/>
          </reference>
        </references>
      </pivotArea>
    </chartFormat>
    <chartFormat chart="11" format="35">
      <pivotArea type="data" outline="0" fieldPosition="0">
        <references count="2">
          <reference field="4294967294" count="1" selected="0">
            <x v="0"/>
          </reference>
          <reference field="3" count="1" selected="0">
            <x v="8"/>
          </reference>
        </references>
      </pivotArea>
    </chartFormat>
    <chartFormat chart="11" format="3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A3:B8"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x="0"/>
        <item x="1"/>
        <item x="2"/>
        <item x="3"/>
        <item x="4"/>
        <item x="5"/>
        <item x="6"/>
        <item x="7"/>
        <item x="8"/>
        <item x="9"/>
        <item x="10"/>
        <item x="11"/>
        <item x="12"/>
        <item x="13"/>
      </items>
    </pivotField>
  </pivotFields>
  <rowFields count="1">
    <field x="10"/>
  </rowFields>
  <rowItems count="5">
    <i>
      <x v="1"/>
    </i>
    <i>
      <x/>
    </i>
    <i>
      <x v="2"/>
    </i>
    <i>
      <x v="3"/>
    </i>
    <i t="grand">
      <x/>
    </i>
  </rowItems>
  <colItems count="1">
    <i/>
  </colItems>
  <dataFields count="1">
    <dataField name="Sum of Revenue" fld="24" baseField="0" baseItem="0" numFmtId="167"/>
  </dataFields>
  <formats count="3">
    <format dxfId="30">
      <pivotArea outline="0" collapsedLevelsAreSubtotals="1" fieldPosition="0"/>
    </format>
    <format dxfId="29">
      <pivotArea dataOnly="0" labelOnly="1" outline="0" axis="axisValues" fieldPosition="0"/>
    </format>
    <format dxfId="28">
      <pivotArea dataOnly="0" labelOnly="1" outline="0" axis="axisValues" fieldPosition="0"/>
    </format>
  </formats>
  <chartFormats count="11">
    <chartFormat chart="1" format="0"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10" count="1" selected="0">
            <x v="1"/>
          </reference>
        </references>
      </pivotArea>
    </chartFormat>
    <chartFormat chart="2" format="19">
      <pivotArea type="data" outline="0" fieldPosition="0">
        <references count="2">
          <reference field="4294967294" count="1" selected="0">
            <x v="0"/>
          </reference>
          <reference field="10" count="1" selected="0">
            <x v="0"/>
          </reference>
        </references>
      </pivotArea>
    </chartFormat>
    <chartFormat chart="2" format="20">
      <pivotArea type="data" outline="0" fieldPosition="0">
        <references count="2">
          <reference field="4294967294" count="1" selected="0">
            <x v="0"/>
          </reference>
          <reference field="10" count="1" selected="0">
            <x v="2"/>
          </reference>
        </references>
      </pivotArea>
    </chartFormat>
    <chartFormat chart="2" format="21">
      <pivotArea type="data" outline="0" fieldPosition="0">
        <references count="2">
          <reference field="4294967294" count="1" selected="0">
            <x v="0"/>
          </reference>
          <reference field="10" count="1" selected="0">
            <x v="3"/>
          </reference>
        </references>
      </pivotArea>
    </chartFormat>
    <chartFormat chart="2" format="23" series="1">
      <pivotArea type="data" outline="0" fieldPosition="0">
        <references count="1">
          <reference field="4294967294" count="1" selected="0">
            <x v="0"/>
          </reference>
        </references>
      </pivotArea>
    </chartFormat>
    <chartFormat chart="6" format="29" series="1">
      <pivotArea type="data" outline="0" fieldPosition="0">
        <references count="1">
          <reference field="4294967294" count="1" selected="0">
            <x v="0"/>
          </reference>
        </references>
      </pivotArea>
    </chartFormat>
    <chartFormat chart="6" format="30">
      <pivotArea type="data" outline="0" fieldPosition="0">
        <references count="2">
          <reference field="4294967294" count="1" selected="0">
            <x v="0"/>
          </reference>
          <reference field="10" count="1" selected="0">
            <x v="1"/>
          </reference>
        </references>
      </pivotArea>
    </chartFormat>
    <chartFormat chart="6" format="31">
      <pivotArea type="data" outline="0" fieldPosition="0">
        <references count="2">
          <reference field="4294967294" count="1" selected="0">
            <x v="0"/>
          </reference>
          <reference field="10" count="1" selected="0">
            <x v="0"/>
          </reference>
        </references>
      </pivotArea>
    </chartFormat>
    <chartFormat chart="6" format="32">
      <pivotArea type="data" outline="0" fieldPosition="0">
        <references count="2">
          <reference field="4294967294" count="1" selected="0">
            <x v="0"/>
          </reference>
          <reference field="10" count="1" selected="0">
            <x v="2"/>
          </reference>
        </references>
      </pivotArea>
    </chartFormat>
    <chartFormat chart="6" format="3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0">
  <location ref="A3:B7"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x="0"/>
        <item x="1"/>
        <item x="2"/>
        <item x="3"/>
        <item x="4"/>
        <item x="5"/>
        <item x="6"/>
        <item x="7"/>
        <item x="8"/>
        <item x="9"/>
        <item x="10"/>
        <item x="11"/>
        <item x="12"/>
        <item x="13"/>
      </items>
    </pivotField>
  </pivotFields>
  <rowFields count="1">
    <field x="9"/>
  </rowFields>
  <rowItems count="4">
    <i>
      <x v="6"/>
    </i>
    <i>
      <x v="1"/>
    </i>
    <i>
      <x/>
    </i>
    <i t="grand">
      <x/>
    </i>
  </rowItems>
  <colItems count="1">
    <i/>
  </colItems>
  <dataFields count="1">
    <dataField name="Sum of Revenue" fld="24" showDataAs="percentOfTotal" baseField="0" baseItem="0" numFmtId="10"/>
  </dataFields>
  <formats count="4">
    <format dxfId="27">
      <pivotArea outline="0" collapsedLevelsAreSubtotals="1" fieldPosition="0"/>
    </format>
    <format dxfId="26">
      <pivotArea dataOnly="0" labelOnly="1" outline="0" axis="axisValues" fieldPosition="0"/>
    </format>
    <format dxfId="25">
      <pivotArea dataOnly="0" labelOnly="1" outline="0" axis="axisValues" fieldPosition="0"/>
    </format>
    <format dxfId="24">
      <pivotArea outline="0" fieldPosition="0">
        <references count="1">
          <reference field="4294967294" count="1">
            <x v="0"/>
          </reference>
        </references>
      </pivotArea>
    </format>
  </format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6"/>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0"/>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1" format="5">
      <pivotArea type="data" outline="0" fieldPosition="0">
        <references count="2">
          <reference field="4294967294" count="1" selected="0">
            <x v="0"/>
          </reference>
          <reference field="9" count="1" selected="0">
            <x v="7"/>
          </reference>
        </references>
      </pivotArea>
    </chartFormat>
    <chartFormat chart="1" format="6">
      <pivotArea type="data" outline="0" fieldPosition="0">
        <references count="2">
          <reference field="4294967294" count="1" selected="0">
            <x v="0"/>
          </reference>
          <reference field="9" count="1" selected="0">
            <x v="5"/>
          </reference>
        </references>
      </pivotArea>
    </chartFormat>
    <chartFormat chart="1" format="7">
      <pivotArea type="data" outline="0" fieldPosition="0">
        <references count="2">
          <reference field="4294967294" count="1" selected="0">
            <x v="0"/>
          </reference>
          <reference field="9" count="1" selected="0">
            <x v="3"/>
          </reference>
        </references>
      </pivotArea>
    </chartFormat>
    <chartFormat chart="1" format="8">
      <pivotArea type="data" outline="0" fieldPosition="0">
        <references count="2">
          <reference field="4294967294" count="1" selected="0">
            <x v="0"/>
          </reference>
          <reference field="9"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9" count="1" selected="0">
            <x v="6"/>
          </reference>
        </references>
      </pivotArea>
    </chartFormat>
    <chartFormat chart="9" format="15">
      <pivotArea type="data" outline="0" fieldPosition="0">
        <references count="2">
          <reference field="4294967294" count="1" selected="0">
            <x v="0"/>
          </reference>
          <reference field="9" count="1" selected="0">
            <x v="1"/>
          </reference>
        </references>
      </pivotArea>
    </chartFormat>
    <chartFormat chart="9" format="1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9">
  <location ref="A3:B7"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x="0"/>
        <item x="1"/>
        <item x="2"/>
        <item x="3"/>
        <item x="4"/>
        <item x="5"/>
        <item x="6"/>
        <item x="7"/>
        <item x="8"/>
        <item x="9"/>
        <item x="10"/>
        <item x="11"/>
        <item x="12"/>
        <item x="13"/>
      </items>
    </pivotField>
  </pivotFields>
  <rowFields count="1">
    <field x="21"/>
  </rowFields>
  <rowItems count="4">
    <i>
      <x v="1"/>
    </i>
    <i>
      <x v="12"/>
    </i>
    <i>
      <x v="9"/>
    </i>
    <i t="grand">
      <x/>
    </i>
  </rowItems>
  <colItems count="1">
    <i/>
  </colItems>
  <dataFields count="1">
    <dataField name="Sum of Revenue" fld="24" baseField="0" baseItem="0" numFmtId="167"/>
  </dataFields>
  <formats count="3">
    <format dxfId="23">
      <pivotArea outline="0" collapsedLevelsAreSubtotals="1" fieldPosition="0"/>
    </format>
    <format dxfId="22">
      <pivotArea dataOnly="0" labelOnly="1" outline="0" axis="axisValues" fieldPosition="0"/>
    </format>
    <format dxfId="21">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21" count="1" selected="0">
            <x v="1"/>
          </reference>
        </references>
      </pivotArea>
    </chartFormat>
    <chartFormat chart="2" format="19">
      <pivotArea type="data" outline="0" fieldPosition="0">
        <references count="2">
          <reference field="4294967294" count="1" selected="0">
            <x v="0"/>
          </reference>
          <reference field="21" count="1" selected="0">
            <x v="12"/>
          </reference>
        </references>
      </pivotArea>
    </chartFormat>
    <chartFormat chart="2" format="20">
      <pivotArea type="data" outline="0" fieldPosition="0">
        <references count="2">
          <reference field="4294967294" count="1" selected="0">
            <x v="0"/>
          </reference>
          <reference field="21" count="1" selected="0">
            <x v="9"/>
          </reference>
        </references>
      </pivotArea>
    </chartFormat>
    <chartFormat chart="2" format="21">
      <pivotArea type="data" outline="0" fieldPosition="0">
        <references count="2">
          <reference field="4294967294" count="1" selected="0">
            <x v="0"/>
          </reference>
          <reference field="21" count="1" selected="0">
            <x v="5"/>
          </reference>
        </references>
      </pivotArea>
    </chartFormat>
    <chartFormat chart="2" format="22">
      <pivotArea type="data" outline="0" fieldPosition="0">
        <references count="2">
          <reference field="4294967294" count="1" selected="0">
            <x v="0"/>
          </reference>
          <reference field="21" count="1" selected="0">
            <x v="6"/>
          </reference>
        </references>
      </pivotArea>
    </chartFormat>
    <chartFormat chart="2" format="23">
      <pivotArea type="data" outline="0" fieldPosition="0">
        <references count="2">
          <reference field="4294967294" count="1" selected="0">
            <x v="0"/>
          </reference>
          <reference field="21" count="1" selected="0">
            <x v="3"/>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21" count="1" selected="0">
            <x v="1"/>
          </reference>
        </references>
      </pivotArea>
    </chartFormat>
    <chartFormat chart="8" format="29">
      <pivotArea type="data" outline="0" fieldPosition="0">
        <references count="2">
          <reference field="4294967294" count="1" selected="0">
            <x v="0"/>
          </reference>
          <reference field="21" count="1" selected="0">
            <x v="12"/>
          </reference>
        </references>
      </pivotArea>
    </chartFormat>
    <chartFormat chart="8" format="30">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8">
  <location ref="A3:B16" firstHeaderRow="1" firstDataRow="1" firstDataCol="1"/>
  <pivotFields count="27">
    <pivotField showAll="0"/>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7"/>
  </dataFields>
  <formats count="3">
    <format dxfId="20">
      <pivotArea outline="0" collapsedLevelsAreSubtotals="1" fieldPosition="0"/>
    </format>
    <format dxfId="19">
      <pivotArea dataOnly="0" labelOnly="1" outline="0" axis="axisValues" fieldPosition="0"/>
    </format>
    <format dxfId="18">
      <pivotArea dataOnly="0" labelOnly="1" outline="0" axis="axisValues" fieldPosition="0"/>
    </format>
  </formats>
  <chartFormats count="20">
    <chartFormat chart="1"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3" format="32" series="1">
      <pivotArea type="data" outline="0" fieldPosition="0">
        <references count="1">
          <reference field="4294967294" count="1" selected="0">
            <x v="0"/>
          </reference>
        </references>
      </pivotArea>
    </chartFormat>
    <chartFormat chart="3" format="41">
      <pivotArea type="data" outline="0" fieldPosition="0">
        <references count="2">
          <reference field="4294967294" count="1" selected="0">
            <x v="0"/>
          </reference>
          <reference field="26" count="1" selected="0">
            <x v="1"/>
          </reference>
        </references>
      </pivotArea>
    </chartFormat>
    <chartFormat chart="3" format="42">
      <pivotArea type="data" outline="0" fieldPosition="0">
        <references count="2">
          <reference field="4294967294" count="1" selected="0">
            <x v="0"/>
          </reference>
          <reference field="26" count="1" selected="0">
            <x v="2"/>
          </reference>
        </references>
      </pivotArea>
    </chartFormat>
    <chartFormat chart="3" format="43">
      <pivotArea type="data" outline="0" fieldPosition="0">
        <references count="2">
          <reference field="4294967294" count="1" selected="0">
            <x v="0"/>
          </reference>
          <reference field="26" count="1" selected="0">
            <x v="3"/>
          </reference>
        </references>
      </pivotArea>
    </chartFormat>
    <chartFormat chart="3" format="44">
      <pivotArea type="data" outline="0" fieldPosition="0">
        <references count="2">
          <reference field="4294967294" count="1" selected="0">
            <x v="0"/>
          </reference>
          <reference field="26" count="1" selected="0">
            <x v="4"/>
          </reference>
        </references>
      </pivotArea>
    </chartFormat>
    <chartFormat chart="3" format="45">
      <pivotArea type="data" outline="0" fieldPosition="0">
        <references count="2">
          <reference field="4294967294" count="1" selected="0">
            <x v="0"/>
          </reference>
          <reference field="26" count="1" selected="0">
            <x v="5"/>
          </reference>
        </references>
      </pivotArea>
    </chartFormat>
    <chartFormat chart="3" format="46">
      <pivotArea type="data" outline="0" fieldPosition="0">
        <references count="2">
          <reference field="4294967294" count="1" selected="0">
            <x v="0"/>
          </reference>
          <reference field="26" count="1" selected="0">
            <x v="6"/>
          </reference>
        </references>
      </pivotArea>
    </chartFormat>
    <chartFormat chart="3" format="47">
      <pivotArea type="data" outline="0" fieldPosition="0">
        <references count="2">
          <reference field="4294967294" count="1" selected="0">
            <x v="0"/>
          </reference>
          <reference field="26" count="1" selected="0">
            <x v="7"/>
          </reference>
        </references>
      </pivotArea>
    </chartFormat>
    <chartFormat chart="3" format="48">
      <pivotArea type="data" outline="0" fieldPosition="0">
        <references count="2">
          <reference field="4294967294" count="1" selected="0">
            <x v="0"/>
          </reference>
          <reference field="26" count="1" selected="0">
            <x v="8"/>
          </reference>
        </references>
      </pivotArea>
    </chartFormat>
    <chartFormat chart="7" format="76" series="1">
      <pivotArea type="data" outline="0" fieldPosition="0">
        <references count="1">
          <reference field="4294967294" count="1" selected="0">
            <x v="0"/>
          </reference>
        </references>
      </pivotArea>
    </chartFormat>
    <chartFormat chart="7" format="77">
      <pivotArea type="data" outline="0" fieldPosition="0">
        <references count="2">
          <reference field="4294967294" count="1" selected="0">
            <x v="0"/>
          </reference>
          <reference field="26" count="1" selected="0">
            <x v="1"/>
          </reference>
        </references>
      </pivotArea>
    </chartFormat>
    <chartFormat chart="7" format="78">
      <pivotArea type="data" outline="0" fieldPosition="0">
        <references count="2">
          <reference field="4294967294" count="1" selected="0">
            <x v="0"/>
          </reference>
          <reference field="26" count="1" selected="0">
            <x v="2"/>
          </reference>
        </references>
      </pivotArea>
    </chartFormat>
    <chartFormat chart="7" format="79">
      <pivotArea type="data" outline="0" fieldPosition="0">
        <references count="2">
          <reference field="4294967294" count="1" selected="0">
            <x v="0"/>
          </reference>
          <reference field="26" count="1" selected="0">
            <x v="3"/>
          </reference>
        </references>
      </pivotArea>
    </chartFormat>
    <chartFormat chart="7" format="80">
      <pivotArea type="data" outline="0" fieldPosition="0">
        <references count="2">
          <reference field="4294967294" count="1" selected="0">
            <x v="0"/>
          </reference>
          <reference field="26" count="1" selected="0">
            <x v="4"/>
          </reference>
        </references>
      </pivotArea>
    </chartFormat>
    <chartFormat chart="7" format="81">
      <pivotArea type="data" outline="0" fieldPosition="0">
        <references count="2">
          <reference field="4294967294" count="1" selected="0">
            <x v="0"/>
          </reference>
          <reference field="26" count="1" selected="0">
            <x v="5"/>
          </reference>
        </references>
      </pivotArea>
    </chartFormat>
    <chartFormat chart="7" format="82">
      <pivotArea type="data" outline="0" fieldPosition="0">
        <references count="2">
          <reference field="4294967294" count="1" selected="0">
            <x v="0"/>
          </reference>
          <reference field="26" count="1" selected="0">
            <x v="6"/>
          </reference>
        </references>
      </pivotArea>
    </chartFormat>
    <chartFormat chart="7" format="83">
      <pivotArea type="data" outline="0" fieldPosition="0">
        <references count="2">
          <reference field="4294967294" count="1" selected="0">
            <x v="0"/>
          </reference>
          <reference field="26" count="1" selected="0">
            <x v="7"/>
          </reference>
        </references>
      </pivotArea>
    </chartFormat>
    <chartFormat chart="7" format="84">
      <pivotArea type="data" outline="0" fieldPosition="0">
        <references count="2">
          <reference field="4294967294" count="1" selected="0">
            <x v="0"/>
          </reference>
          <reference field="26" count="1" selected="0">
            <x v="8"/>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9">
  <location ref="A3:B11"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6" showAll="0">
      <items count="11">
        <item x="0"/>
        <item x="1"/>
        <item x="2"/>
        <item x="3"/>
        <item x="4"/>
        <item x="5"/>
        <item x="6"/>
        <item x="7"/>
        <item x="8"/>
        <item x="9"/>
        <item t="default"/>
      </items>
    </pivotField>
    <pivotField numFmtId="166"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formats count="5">
    <format dxfId="17">
      <pivotArea outline="0" collapsedLevelsAreSubtotals="1" fieldPosition="0"/>
    </format>
    <format dxfId="16">
      <pivotArea dataOnly="0" labelOnly="1" outline="0" axis="axisValues" fieldPosition="0"/>
    </format>
    <format dxfId="15">
      <pivotArea dataOnly="0" labelOnly="1" outline="0" axis="axisValues" fieldPosition="0"/>
    </format>
    <format dxfId="14">
      <pivotArea collapsedLevelsAreSubtotals="1" fieldPosition="0">
        <references count="1">
          <reference field="24" count="7">
            <x v="1"/>
            <x v="2"/>
            <x v="3"/>
            <x v="4"/>
            <x v="5"/>
            <x v="7"/>
            <x v="8"/>
          </reference>
        </references>
      </pivotArea>
    </format>
    <format dxfId="13">
      <pivotArea outline="0" collapsedLevelsAreSubtotals="1" fieldPosition="0"/>
    </format>
  </formats>
  <chartFormats count="19">
    <chartFormat chart="1"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3" format="32" series="1">
      <pivotArea type="data" outline="0" fieldPosition="0">
        <references count="1">
          <reference field="4294967294" count="1" selected="0">
            <x v="0"/>
          </reference>
        </references>
      </pivotArea>
    </chartFormat>
    <chartFormat chart="4" format="42" series="1">
      <pivotArea type="data" outline="0" fieldPosition="0">
        <references count="1">
          <reference field="4294967294" count="1" selected="0">
            <x v="0"/>
          </reference>
        </references>
      </pivotArea>
    </chartFormat>
    <chartFormat chart="4" format="43">
      <pivotArea type="data" outline="0" fieldPosition="0">
        <references count="2">
          <reference field="4294967294" count="1" selected="0">
            <x v="0"/>
          </reference>
          <reference field="24" count="1" selected="0">
            <x v="2"/>
          </reference>
        </references>
      </pivotArea>
    </chartFormat>
    <chartFormat chart="4" format="44">
      <pivotArea type="data" outline="0" fieldPosition="0">
        <references count="2">
          <reference field="4294967294" count="1" selected="0">
            <x v="0"/>
          </reference>
          <reference field="24" count="1" selected="0">
            <x v="3"/>
          </reference>
        </references>
      </pivotArea>
    </chartFormat>
    <chartFormat chart="4" format="45">
      <pivotArea type="data" outline="0" fieldPosition="0">
        <references count="2">
          <reference field="4294967294" count="1" selected="0">
            <x v="0"/>
          </reference>
          <reference field="24" count="1" selected="0">
            <x v="4"/>
          </reference>
        </references>
      </pivotArea>
    </chartFormat>
    <chartFormat chart="4" format="46">
      <pivotArea type="data" outline="0" fieldPosition="0">
        <references count="2">
          <reference field="4294967294" count="1" selected="0">
            <x v="0"/>
          </reference>
          <reference field="24" count="1" selected="0">
            <x v="5"/>
          </reference>
        </references>
      </pivotArea>
    </chartFormat>
    <chartFormat chart="4" format="47">
      <pivotArea type="data" outline="0" fieldPosition="0">
        <references count="2">
          <reference field="4294967294" count="1" selected="0">
            <x v="0"/>
          </reference>
          <reference field="24" count="1" selected="0">
            <x v="7"/>
          </reference>
        </references>
      </pivotArea>
    </chartFormat>
    <chartFormat chart="4" format="48">
      <pivotArea type="data" outline="0" fieldPosition="0">
        <references count="2">
          <reference field="4294967294" count="1" selected="0">
            <x v="0"/>
          </reference>
          <reference field="24" count="1" selected="0">
            <x v="1"/>
          </reference>
        </references>
      </pivotArea>
    </chartFormat>
    <chartFormat chart="4" format="49">
      <pivotArea type="data" outline="0" fieldPosition="0">
        <references count="2">
          <reference field="4294967294" count="1" selected="0">
            <x v="0"/>
          </reference>
          <reference field="24" count="1" selected="0">
            <x v="8"/>
          </reference>
        </references>
      </pivotArea>
    </chartFormat>
    <chartFormat chart="7" format="50" series="1">
      <pivotArea type="data" outline="0" fieldPosition="0">
        <references count="1">
          <reference field="4294967294" count="1" selected="0">
            <x v="0"/>
          </reference>
        </references>
      </pivotArea>
    </chartFormat>
    <chartFormat chart="7" format="51">
      <pivotArea type="data" outline="0" fieldPosition="0">
        <references count="2">
          <reference field="4294967294" count="1" selected="0">
            <x v="0"/>
          </reference>
          <reference field="24" count="1" selected="0">
            <x v="1"/>
          </reference>
        </references>
      </pivotArea>
    </chartFormat>
    <chartFormat chart="7" format="52">
      <pivotArea type="data" outline="0" fieldPosition="0">
        <references count="2">
          <reference field="4294967294" count="1" selected="0">
            <x v="0"/>
          </reference>
          <reference field="24" count="1" selected="0">
            <x v="2"/>
          </reference>
        </references>
      </pivotArea>
    </chartFormat>
    <chartFormat chart="7" format="53">
      <pivotArea type="data" outline="0" fieldPosition="0">
        <references count="2">
          <reference field="4294967294" count="1" selected="0">
            <x v="0"/>
          </reference>
          <reference field="24" count="1" selected="0">
            <x v="3"/>
          </reference>
        </references>
      </pivotArea>
    </chartFormat>
    <chartFormat chart="7" format="54">
      <pivotArea type="data" outline="0" fieldPosition="0">
        <references count="2">
          <reference field="4294967294" count="1" selected="0">
            <x v="0"/>
          </reference>
          <reference field="24" count="1" selected="0">
            <x v="4"/>
          </reference>
        </references>
      </pivotArea>
    </chartFormat>
    <chartFormat chart="7" format="55">
      <pivotArea type="data" outline="0" fieldPosition="0">
        <references count="2">
          <reference field="4294967294" count="1" selected="0">
            <x v="0"/>
          </reference>
          <reference field="24" count="1" selected="0">
            <x v="5"/>
          </reference>
        </references>
      </pivotArea>
    </chartFormat>
    <chartFormat chart="7" format="56">
      <pivotArea type="data" outline="0" fieldPosition="0">
        <references count="2">
          <reference field="4294967294" count="1" selected="0">
            <x v="0"/>
          </reference>
          <reference field="24" count="1" selected="0">
            <x v="7"/>
          </reference>
        </references>
      </pivotArea>
    </chartFormat>
    <chartFormat chart="7" format="57">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4">
  <location ref="A3:B16"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x="0"/>
        <item x="1"/>
        <item x="2"/>
        <item x="3"/>
        <item x="4"/>
        <item x="5"/>
        <item x="6"/>
        <item x="7"/>
        <item x="8"/>
        <item x="9"/>
        <item x="10"/>
        <item x="11"/>
        <item x="12"/>
        <item x="13"/>
      </items>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7"/>
  </dataFields>
  <formats count="3">
    <format dxfId="12">
      <pivotArea outline="0" collapsedLevelsAreSubtotals="1" fieldPosition="0"/>
    </format>
    <format dxfId="11">
      <pivotArea dataOnly="0" labelOnly="1" outline="0" axis="axisValues" fieldPosition="0"/>
    </format>
    <format dxfId="1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0">
  <location ref="A3:B10"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pivotField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5"/>
  </rowFields>
  <rowItems count="7">
    <i>
      <x v="8"/>
    </i>
    <i>
      <x v="9"/>
    </i>
    <i>
      <x v="6"/>
    </i>
    <i>
      <x v="5"/>
    </i>
    <i>
      <x v="1"/>
    </i>
    <i>
      <x v="7"/>
    </i>
    <i t="grand">
      <x/>
    </i>
  </rowItems>
  <colItems count="1">
    <i/>
  </colItems>
  <dataFields count="1">
    <dataField name="Sum of Revenue" fld="24" baseField="0" baseItem="0" numFmtId="164"/>
  </dataFields>
  <formats count="5">
    <format dxfId="9">
      <pivotArea outline="0" collapsedLevelsAreSubtotals="1" fieldPosition="0"/>
    </format>
    <format dxfId="8">
      <pivotArea dataOnly="0" labelOnly="1" outline="0" axis="axisValues" fieldPosition="0"/>
    </format>
    <format dxfId="7">
      <pivotArea dataOnly="0" labelOnly="1" outline="0" axis="axisValues" fieldPosition="0"/>
    </format>
    <format dxfId="6">
      <pivotArea outline="0" collapsedLevelsAreSubtotals="1" fieldPosition="0"/>
    </format>
    <format dxfId="5">
      <pivotArea outline="0" collapsedLevelsAreSubtotals="1" fieldPosition="0"/>
    </format>
  </formats>
  <chartFormats count="13">
    <chartFormat chart="1"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3" format="32" series="1">
      <pivotArea type="data" outline="0" fieldPosition="0">
        <references count="1">
          <reference field="4294967294" count="1" selected="0">
            <x v="0"/>
          </reference>
        </references>
      </pivotArea>
    </chartFormat>
    <chartFormat chart="4" format="42" series="1">
      <pivotArea type="data" outline="0" fieldPosition="0">
        <references count="1">
          <reference field="4294967294" count="1" selected="0">
            <x v="0"/>
          </reference>
        </references>
      </pivotArea>
    </chartFormat>
    <chartFormat chart="5" format="49" series="1">
      <pivotArea type="data" outline="0" fieldPosition="0">
        <references count="1">
          <reference field="4294967294" count="1" selected="0">
            <x v="0"/>
          </reference>
        </references>
      </pivotArea>
    </chartFormat>
    <chartFormat chart="6" format="56" series="1">
      <pivotArea type="data" outline="0" fieldPosition="0">
        <references count="1">
          <reference field="4294967294" count="1" selected="0">
            <x v="0"/>
          </reference>
        </references>
      </pivotArea>
    </chartFormat>
    <chartFormat chart="7" format="58" series="1">
      <pivotArea type="data" outline="0" fieldPosition="0">
        <references count="1">
          <reference field="4294967294" count="1" selected="0">
            <x v="0"/>
          </reference>
        </references>
      </pivotArea>
    </chartFormat>
    <chartFormat chart="7" format="59">
      <pivotArea type="data" outline="0" fieldPosition="0">
        <references count="2">
          <reference field="4294967294" count="1" selected="0">
            <x v="0"/>
          </reference>
          <reference field="15" count="1" selected="0">
            <x v="9"/>
          </reference>
        </references>
      </pivotArea>
    </chartFormat>
    <chartFormat chart="7" format="60">
      <pivotArea type="data" outline="0" fieldPosition="0">
        <references count="2">
          <reference field="4294967294" count="1" selected="0">
            <x v="0"/>
          </reference>
          <reference field="15" count="1" selected="0">
            <x v="6"/>
          </reference>
        </references>
      </pivotArea>
    </chartFormat>
    <chartFormat chart="7" format="61">
      <pivotArea type="data" outline="0" fieldPosition="0">
        <references count="2">
          <reference field="4294967294" count="1" selected="0">
            <x v="0"/>
          </reference>
          <reference field="15" count="1" selected="0">
            <x v="5"/>
          </reference>
        </references>
      </pivotArea>
    </chartFormat>
    <chartFormat chart="7" format="62">
      <pivotArea type="data" outline="0" fieldPosition="0">
        <references count="2">
          <reference field="4294967294" count="1" selected="0">
            <x v="0"/>
          </reference>
          <reference field="15" count="1" selected="0">
            <x v="1"/>
          </reference>
        </references>
      </pivotArea>
    </chartFormat>
    <chartFormat chart="7" format="63">
      <pivotArea type="data" outline="0" fieldPosition="0">
        <references count="2">
          <reference field="4294967294" count="1" selected="0">
            <x v="0"/>
          </reference>
          <reference field="15" count="1" selected="0">
            <x v="7"/>
          </reference>
        </references>
      </pivotArea>
    </chartFormat>
    <chartFormat chart="7" format="64">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filters count="2">
    <filter fld="21" type="count" evalOrder="-1" id="1" iMeasureFld="0">
      <autoFilter ref="A1">
        <filterColumn colId="0">
          <top10 val="6" filterVal="6"/>
        </filterColumn>
      </autoFilter>
    </filter>
    <filter fld="1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9">
  <location ref="A3:B9" firstHeaderRow="1" firstDataRow="1" firstDataCol="1"/>
  <pivotFields count="27">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11"/>
        <item x="0"/>
        <item x="7"/>
        <item x="5"/>
        <item x="4"/>
        <item x="1"/>
        <item x="6"/>
        <item x="9"/>
        <item x="3"/>
        <item x="12"/>
        <item x="8"/>
        <item x="10"/>
        <item x="2"/>
        <item x="13"/>
        <item x="14"/>
        <item t="default"/>
      </items>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6">
    <i>
      <x v="8"/>
    </i>
    <i>
      <x v="9"/>
    </i>
    <i>
      <x v="6"/>
    </i>
    <i>
      <x v="5"/>
    </i>
    <i>
      <x v="1"/>
    </i>
    <i t="grand">
      <x/>
    </i>
  </rowItems>
  <colItems count="1">
    <i/>
  </colItems>
  <dataFields count="1">
    <dataField name="Sum of Revenue" fld="24" baseField="0" baseItem="0" numFmtId="166"/>
  </dataFields>
  <formats count="5">
    <format dxfId="4">
      <pivotArea outline="0" collapsedLevelsAreSubtotals="1" fieldPosition="0"/>
    </format>
    <format dxfId="3">
      <pivotArea dataOnly="0" labelOnly="1" outline="0" axis="axisValues" fieldPosition="0"/>
    </format>
    <format dxfId="2">
      <pivotArea dataOnly="0" labelOnly="1" outline="0" axis="axisValues" fieldPosition="0"/>
    </format>
    <format dxfId="1">
      <pivotArea outline="0" collapsedLevelsAreSubtotals="1" fieldPosition="0"/>
    </format>
    <format dxfId="0">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3" format="32" series="1">
      <pivotArea type="data" outline="0" fieldPosition="0">
        <references count="1">
          <reference field="4294967294" count="1" selected="0">
            <x v="0"/>
          </reference>
        </references>
      </pivotArea>
    </chartFormat>
    <chartFormat chart="4" format="42" series="1">
      <pivotArea type="data" outline="0" fieldPosition="0">
        <references count="1">
          <reference field="4294967294" count="1" selected="0">
            <x v="0"/>
          </reference>
        </references>
      </pivotArea>
    </chartFormat>
    <chartFormat chart="5" format="49" series="1">
      <pivotArea type="data" outline="0" fieldPosition="0">
        <references count="1">
          <reference field="4294967294" count="1" selected="0">
            <x v="0"/>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5" count="1" selected="0">
            <x v="9"/>
          </reference>
        </references>
      </pivotArea>
    </chartFormat>
    <chartFormat chart="6" format="63">
      <pivotArea type="data" outline="0" fieldPosition="0">
        <references count="2">
          <reference field="4294967294" count="1" selected="0">
            <x v="0"/>
          </reference>
          <reference field="5" count="1" selected="0">
            <x v="6"/>
          </reference>
        </references>
      </pivotArea>
    </chartFormat>
    <chartFormat chart="6" format="64">
      <pivotArea type="data" outline="0" fieldPosition="0">
        <references count="2">
          <reference field="4294967294" count="1" selected="0">
            <x v="0"/>
          </reference>
          <reference field="5" count="1" selected="0">
            <x v="5"/>
          </reference>
        </references>
      </pivotArea>
    </chartFormat>
    <chartFormat chart="6" format="65">
      <pivotArea type="data" outline="0" fieldPosition="0">
        <references count="2">
          <reference field="4294967294" count="1" selected="0">
            <x v="0"/>
          </reference>
          <reference field="5" count="1" selected="0">
            <x v="1"/>
          </reference>
        </references>
      </pivotArea>
    </chartFormat>
    <chartFormat chart="6" format="66">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filters count="2">
    <filter fld="21" type="count" evalOrder="-1" id="1" iMeasureFld="0">
      <autoFilter ref="A1">
        <filterColumn colId="0">
          <top10 val="6" filterVal="6"/>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5" name="PivotTable2"/>
    <pivotTable tabId="31" name="PivotTable2"/>
    <pivotTable tabId="24" name="PivotTable2"/>
    <pivotTable tabId="23" name="PivotTable2"/>
    <pivotTable tabId="22" name="PivotTable2"/>
    <pivotTable tabId="20" name="PivotTable1"/>
    <pivotTable tabId="28" name="PivotTable2"/>
    <pivotTable tabId="29" name="PivotTable2"/>
    <pivotTable tabId="26" name="PivotTable2"/>
    <pivotTable tabId="37" name="PivotTable1"/>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98C85C5-5AA8-4030-ADC7-7305AD57F6B7}" cache="Slicer_Region" caption="Region" showCaption="0" style="SlicerStyleLight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19BA0-D107-4BAE-9DE4-B69600C89639}" name="Table1" displayName="Table1" ref="A1:Z32" totalsRowShown="0">
  <autoFilter ref="A1:Z32" xr:uid="{A7319BA0-D107-4BAE-9DE4-B69600C89639}"/>
  <tableColumns count="26">
    <tableColumn id="1" xr3:uid="{82341B14-50A0-4C88-B2D1-8FD5342EC75A}" name="Order ID"/>
    <tableColumn id="2" xr3:uid="{E863B91E-C371-4741-94A3-E0ABF384E023}" name="Order Date" dataDxfId="40"/>
    <tableColumn id="3" xr3:uid="{990A118E-E9DC-4A93-8A2D-0E3AF3189BD3}" name="Customer ID"/>
    <tableColumn id="4" xr3:uid="{4357FC1C-891B-4EA0-8904-51D2EC4FD774}" name="Customer Name"/>
    <tableColumn id="5" xr3:uid="{784E52F8-BD8B-4221-9672-DA724EB79B05}" name="Address"/>
    <tableColumn id="6" xr3:uid="{5810AEB9-84F7-40E2-969C-CB36B591D873}" name="City"/>
    <tableColumn id="7" xr3:uid="{4EECEBE1-7807-4B9B-AF71-71DE67316347}" name="State"/>
    <tableColumn id="8" xr3:uid="{2265F0C0-3974-4D7D-9F7E-C52A17F1EB98}" name="ZIP/Postal Code"/>
    <tableColumn id="9" xr3:uid="{A55809F3-BE06-42B7-B36A-7DE167B109A2}" name="Country/Region"/>
    <tableColumn id="10" xr3:uid="{60B1C5DF-199B-47D7-AF0F-167EEE741A73}" name="Salesperson"/>
    <tableColumn id="11" xr3:uid="{875EAF1E-13BE-41D3-83F8-9B286D05FA37}" name="Region"/>
    <tableColumn id="12" xr3:uid="{27D5D9C3-7805-4BB8-AB4B-4A89E533A0F3}" name="Shipped Date" dataDxfId="39"/>
    <tableColumn id="13" xr3:uid="{F5751548-0607-4001-A826-97B792D53D95}" name="Shipper Name"/>
    <tableColumn id="14" xr3:uid="{3348A498-6749-4E91-96C8-FCE835AAB4C2}" name="Ship Name"/>
    <tableColumn id="15" xr3:uid="{04D11622-F6A9-448E-A785-6CAA4F3295C9}" name="Ship Address"/>
    <tableColumn id="16" xr3:uid="{A01F3319-8A9D-4EBE-B713-F0A44F362E60}" name="Ship City"/>
    <tableColumn id="17" xr3:uid="{DE763DE9-7C62-451C-B315-320979EBFCEB}" name="Ship State"/>
    <tableColumn id="18" xr3:uid="{57BFB362-FC4F-4AEA-AE9F-8BED384114CB}" name="Ship ZIP/Postal Code"/>
    <tableColumn id="19" xr3:uid="{293495F5-CDA6-4279-B8F7-9E54B494BD2E}" name="Ship Country/Region"/>
    <tableColumn id="20" xr3:uid="{1B6C5545-C2E7-433F-AB2D-4680F3EE4ABD}" name="Payment Type"/>
    <tableColumn id="21" xr3:uid="{A88C566A-3B8A-4A63-AA35-590032A8B09A}" name="Product Name"/>
    <tableColumn id="22" xr3:uid="{1F233BE6-4C03-40CD-BB68-90702F116500}" name="Category"/>
    <tableColumn id="23" xr3:uid="{7ABA397B-9929-4D56-AEC2-038AD80BB5DD}" name="Unit Price"/>
    <tableColumn id="24" xr3:uid="{240093E4-D0BD-49DC-B9DD-A21C3BFCE6BD}" name="Quantity"/>
    <tableColumn id="25" xr3:uid="{68DCC3FE-0F75-4904-9FFE-80738C4E16B8}" name="Revenue"/>
    <tableColumn id="26" xr3:uid="{1536533B-1AC6-4DBA-B2CB-C1FA2E41FD9F}" name="Shipping Fe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2"/>
  <sheetViews>
    <sheetView zoomScaleNormal="100" workbookViewId="0">
      <selection activeCell="E14" sqref="E14"/>
    </sheetView>
  </sheetViews>
  <sheetFormatPr defaultRowHeight="15" x14ac:dyDescent="0.25"/>
  <cols>
    <col min="1" max="1" width="66.42578125" customWidth="1"/>
    <col min="3" max="3" width="9.28515625" customWidth="1"/>
  </cols>
  <sheetData>
    <row r="2" spans="1:1" ht="21" x14ac:dyDescent="0.35">
      <c r="A2" s="5" t="s">
        <v>157</v>
      </c>
    </row>
    <row r="3" spans="1:1" ht="68.25" customHeight="1" x14ac:dyDescent="0.25">
      <c r="A3" s="7" t="s">
        <v>158</v>
      </c>
    </row>
    <row r="4" spans="1:1" ht="21" x14ac:dyDescent="0.35">
      <c r="A4" s="6" t="s">
        <v>152</v>
      </c>
    </row>
    <row r="5" spans="1:1" ht="21" x14ac:dyDescent="0.35">
      <c r="A5" s="6" t="s">
        <v>153</v>
      </c>
    </row>
    <row r="6" spans="1:1" ht="21" x14ac:dyDescent="0.35">
      <c r="A6" s="6" t="s">
        <v>154</v>
      </c>
    </row>
    <row r="7" spans="1:1" ht="21" x14ac:dyDescent="0.35">
      <c r="A7" s="6" t="s">
        <v>155</v>
      </c>
    </row>
    <row r="8" spans="1:1" ht="21" x14ac:dyDescent="0.35">
      <c r="A8" s="6" t="s">
        <v>184</v>
      </c>
    </row>
    <row r="9" spans="1:1" ht="21" x14ac:dyDescent="0.35">
      <c r="A9" s="6" t="s">
        <v>156</v>
      </c>
    </row>
    <row r="10" spans="1:1" ht="21" x14ac:dyDescent="0.35">
      <c r="A10" s="6" t="s">
        <v>160</v>
      </c>
    </row>
    <row r="11" spans="1:1" ht="21" x14ac:dyDescent="0.35">
      <c r="A11" s="6" t="s">
        <v>161</v>
      </c>
    </row>
    <row r="12" spans="1:1" ht="21" x14ac:dyDescent="0.35">
      <c r="A12" s="6" t="s">
        <v>162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70"/>
  <sheetViews>
    <sheetView zoomScaleNormal="100" workbookViewId="0">
      <pane ySplit="1" topLeftCell="A2" activePane="bottomLeft" state="frozen"/>
      <selection pane="bottomLeft" activeCell="R358" sqref="R358"/>
    </sheetView>
  </sheetViews>
  <sheetFormatPr defaultRowHeight="15" x14ac:dyDescent="0.25"/>
  <cols>
    <col min="1" max="1" width="10.5703125" customWidth="1"/>
    <col min="2" max="2" width="10.7109375" bestFit="1" customWidth="1"/>
    <col min="3" max="3" width="14.28515625" bestFit="1" customWidth="1"/>
    <col min="4" max="4" width="15.42578125" bestFit="1" customWidth="1"/>
    <col min="5" max="5" width="14.28515625" bestFit="1" customWidth="1"/>
    <col min="6" max="6" width="12.5703125" bestFit="1" customWidth="1"/>
    <col min="7" max="7" width="5.5703125" bestFit="1" customWidth="1"/>
    <col min="8" max="9" width="15.28515625" bestFit="1" customWidth="1"/>
    <col min="10" max="10" width="19.7109375" bestFit="1" customWidth="1"/>
    <col min="11" max="11" width="7.28515625" bestFit="1" customWidth="1"/>
    <col min="12" max="12" width="12.7109375" bestFit="1" customWidth="1"/>
    <col min="13" max="13" width="19.42578125" bestFit="1" customWidth="1"/>
    <col min="14" max="14" width="21.5703125" bestFit="1" customWidth="1"/>
    <col min="15" max="15" width="14.28515625" bestFit="1" customWidth="1"/>
    <col min="16" max="16" width="12.5703125" bestFit="1" customWidth="1"/>
    <col min="17" max="17" width="9.7109375" bestFit="1" customWidth="1"/>
    <col min="18" max="19" width="19.5703125" bestFit="1" customWidth="1"/>
    <col min="20" max="20" width="13.7109375" bestFit="1" customWidth="1"/>
    <col min="21" max="21" width="21" bestFit="1" customWidth="1"/>
    <col min="22" max="22" width="25" bestFit="1" customWidth="1"/>
    <col min="23" max="23" width="9.7109375" bestFit="1" customWidth="1"/>
    <col min="24" max="24" width="8.7109375" bestFit="1" customWidth="1"/>
    <col min="25" max="25" width="19.5703125" customWidth="1"/>
    <col min="26" max="26" width="12.4257812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2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2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2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2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2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2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2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2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2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2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2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2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2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2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2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2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2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2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2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2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2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2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2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2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2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2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2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2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2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2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2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2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159</v>
      </c>
      <c r="Y34" s="4">
        <v>10</v>
      </c>
      <c r="Z34" s="3">
        <v>43</v>
      </c>
    </row>
    <row r="35" spans="1:26" x14ac:dyDescent="0.2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159</v>
      </c>
      <c r="Y35" s="4">
        <v>10</v>
      </c>
      <c r="Z35" s="3">
        <v>31</v>
      </c>
    </row>
    <row r="36" spans="1:26" x14ac:dyDescent="0.2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159</v>
      </c>
      <c r="Y36" s="4">
        <v>10</v>
      </c>
      <c r="Z36" s="3">
        <v>46</v>
      </c>
    </row>
    <row r="37" spans="1:26" x14ac:dyDescent="0.2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2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2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2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2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2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2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2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2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2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2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2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2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2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2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2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2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2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2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2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2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2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2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2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2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2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2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2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2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2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2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2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2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2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2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2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2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2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2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2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2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2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2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2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2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2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2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2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2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2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2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2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2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2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2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2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2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2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2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2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2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2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2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2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2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2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2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2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2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2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2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2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2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2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2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2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2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2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2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2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2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2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2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2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2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2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2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2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2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2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2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2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2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2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2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2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2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2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2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2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2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2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2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2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2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2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2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2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2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2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2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2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2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2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2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2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2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2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2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2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2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2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2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2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2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2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2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2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2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2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2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2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2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2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2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2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2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2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2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2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2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2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2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2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2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2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2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2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2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2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2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2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2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2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2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2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2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2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2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2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2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2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2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2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2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2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2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2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2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2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2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2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2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2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2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2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2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2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2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2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2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2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2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2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2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2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2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2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2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2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2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2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2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2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2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2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2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2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2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2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2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2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2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2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2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2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2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2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2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2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2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2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2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2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2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2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2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2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2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2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2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2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2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2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2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2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2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2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2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2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2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2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2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2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2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2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2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2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2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2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2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2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2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2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2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2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2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2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2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2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2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2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2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2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2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2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2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2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2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2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2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2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2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2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2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2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2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2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2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2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2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2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2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2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2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2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2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2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2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2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2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2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2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2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2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2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2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2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2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2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2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2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2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2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2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2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2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2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2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2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2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2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2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2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2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2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2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2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2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2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2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2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2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2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2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2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2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2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2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2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2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2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2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2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2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2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2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2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2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2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2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2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2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2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opLeftCell="A34" zoomScaleNormal="100" workbookViewId="0">
      <selection activeCell="R24" sqref="R24"/>
    </sheetView>
  </sheetViews>
  <sheetFormatPr defaultRowHeight="15"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2CE7-1FD1-42D6-B347-BE1173ED8863}">
  <dimension ref="A1:Z32"/>
  <sheetViews>
    <sheetView workbookViewId="0">
      <selection activeCell="D15" sqref="D15"/>
    </sheetView>
  </sheetViews>
  <sheetFormatPr defaultRowHeight="15" x14ac:dyDescent="0.25"/>
  <cols>
    <col min="1" max="1" width="10.5703125" customWidth="1"/>
    <col min="2" max="2" width="12.85546875" customWidth="1"/>
    <col min="3" max="3" width="14" customWidth="1"/>
    <col min="4" max="4" width="17.42578125" customWidth="1"/>
    <col min="5" max="5" width="10.28515625" customWidth="1"/>
    <col min="8" max="9" width="17.140625" customWidth="1"/>
    <col min="10" max="10" width="13.85546875" customWidth="1"/>
    <col min="11" max="11" width="9.28515625" customWidth="1"/>
    <col min="12" max="12" width="15" customWidth="1"/>
    <col min="13" max="13" width="15.7109375" customWidth="1"/>
    <col min="14" max="14" width="12.7109375" customWidth="1"/>
    <col min="15" max="15" width="14.5703125" customWidth="1"/>
    <col min="16" max="16" width="10.85546875" customWidth="1"/>
    <col min="17" max="17" width="12" customWidth="1"/>
    <col min="18" max="19" width="21.42578125" customWidth="1"/>
    <col min="20" max="21" width="15.7109375" customWidth="1"/>
    <col min="22" max="22" width="11" customWidth="1"/>
    <col min="23" max="23" width="11.85546875" customWidth="1"/>
    <col min="24" max="24" width="10.85546875" customWidth="1"/>
    <col min="25" max="25" width="11" customWidth="1"/>
    <col min="26" max="26" width="14.57031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1431</v>
      </c>
      <c r="B2" s="17">
        <v>41977</v>
      </c>
      <c r="C2">
        <v>4</v>
      </c>
      <c r="D2" t="s">
        <v>40</v>
      </c>
      <c r="E2" t="s">
        <v>41</v>
      </c>
      <c r="F2" t="s">
        <v>42</v>
      </c>
      <c r="G2" t="s">
        <v>43</v>
      </c>
      <c r="H2">
        <v>99999</v>
      </c>
      <c r="I2" t="s">
        <v>30</v>
      </c>
      <c r="J2" t="s">
        <v>44</v>
      </c>
      <c r="K2" t="s">
        <v>45</v>
      </c>
      <c r="N2" t="s">
        <v>47</v>
      </c>
      <c r="O2" t="s">
        <v>41</v>
      </c>
      <c r="P2" t="s">
        <v>42</v>
      </c>
      <c r="Q2" t="s">
        <v>43</v>
      </c>
      <c r="R2">
        <v>99999</v>
      </c>
      <c r="S2" t="s">
        <v>30</v>
      </c>
      <c r="U2" t="s">
        <v>145</v>
      </c>
      <c r="V2" t="s">
        <v>132</v>
      </c>
      <c r="W2">
        <v>38</v>
      </c>
      <c r="X2">
        <v>59</v>
      </c>
      <c r="Y2">
        <v>2242</v>
      </c>
      <c r="Z2">
        <v>226.44200000000001</v>
      </c>
    </row>
    <row r="3" spans="1:26" x14ac:dyDescent="0.25">
      <c r="A3">
        <v>1407</v>
      </c>
      <c r="B3" s="17">
        <v>41977</v>
      </c>
      <c r="C3">
        <v>4</v>
      </c>
      <c r="D3" t="s">
        <v>40</v>
      </c>
      <c r="E3" t="s">
        <v>41</v>
      </c>
      <c r="F3" t="s">
        <v>42</v>
      </c>
      <c r="G3" t="s">
        <v>43</v>
      </c>
      <c r="H3">
        <v>99999</v>
      </c>
      <c r="I3" t="s">
        <v>30</v>
      </c>
      <c r="J3" t="s">
        <v>44</v>
      </c>
      <c r="K3" t="s">
        <v>45</v>
      </c>
      <c r="L3" s="17">
        <v>41979</v>
      </c>
      <c r="M3" t="s">
        <v>46</v>
      </c>
      <c r="N3" t="s">
        <v>47</v>
      </c>
      <c r="O3" t="s">
        <v>41</v>
      </c>
      <c r="P3" t="s">
        <v>42</v>
      </c>
      <c r="Q3" t="s">
        <v>43</v>
      </c>
      <c r="R3">
        <v>99999</v>
      </c>
      <c r="S3" t="s">
        <v>30</v>
      </c>
      <c r="T3" t="s">
        <v>48</v>
      </c>
      <c r="U3" t="s">
        <v>150</v>
      </c>
      <c r="V3" t="s">
        <v>151</v>
      </c>
      <c r="W3">
        <v>7</v>
      </c>
      <c r="X3">
        <v>42</v>
      </c>
      <c r="Y3">
        <v>294</v>
      </c>
      <c r="Z3">
        <v>29.106000000000002</v>
      </c>
    </row>
    <row r="4" spans="1:26" x14ac:dyDescent="0.25">
      <c r="A4">
        <v>1003</v>
      </c>
      <c r="B4" s="17">
        <v>41643</v>
      </c>
      <c r="C4">
        <v>4</v>
      </c>
      <c r="D4" t="s">
        <v>40</v>
      </c>
      <c r="E4" t="s">
        <v>41</v>
      </c>
      <c r="F4" t="s">
        <v>42</v>
      </c>
      <c r="G4" t="s">
        <v>43</v>
      </c>
      <c r="H4">
        <v>99999</v>
      </c>
      <c r="I4" t="s">
        <v>30</v>
      </c>
      <c r="J4" t="s">
        <v>44</v>
      </c>
      <c r="K4" t="s">
        <v>45</v>
      </c>
      <c r="L4" s="17">
        <v>41645</v>
      </c>
      <c r="M4" t="s">
        <v>46</v>
      </c>
      <c r="N4" t="s">
        <v>47</v>
      </c>
      <c r="O4" t="s">
        <v>41</v>
      </c>
      <c r="P4" t="s">
        <v>42</v>
      </c>
      <c r="Q4" t="s">
        <v>43</v>
      </c>
      <c r="R4">
        <v>99999</v>
      </c>
      <c r="S4" t="s">
        <v>30</v>
      </c>
      <c r="T4" t="s">
        <v>48</v>
      </c>
      <c r="U4" t="s">
        <v>49</v>
      </c>
      <c r="V4" t="s">
        <v>39</v>
      </c>
      <c r="W4">
        <v>30</v>
      </c>
      <c r="X4">
        <v>69</v>
      </c>
      <c r="Y4">
        <v>2070</v>
      </c>
      <c r="Z4">
        <v>198.72</v>
      </c>
    </row>
    <row r="5" spans="1:26" x14ac:dyDescent="0.25">
      <c r="A5">
        <v>1004</v>
      </c>
      <c r="B5" s="17">
        <v>41643</v>
      </c>
      <c r="C5">
        <v>4</v>
      </c>
      <c r="D5" t="s">
        <v>40</v>
      </c>
      <c r="E5" t="s">
        <v>41</v>
      </c>
      <c r="F5" t="s">
        <v>42</v>
      </c>
      <c r="G5" t="s">
        <v>43</v>
      </c>
      <c r="H5">
        <v>99999</v>
      </c>
      <c r="I5" t="s">
        <v>30</v>
      </c>
      <c r="J5" t="s">
        <v>44</v>
      </c>
      <c r="K5" t="s">
        <v>45</v>
      </c>
      <c r="L5" s="17">
        <v>41645</v>
      </c>
      <c r="M5" t="s">
        <v>46</v>
      </c>
      <c r="N5" t="s">
        <v>47</v>
      </c>
      <c r="O5" t="s">
        <v>41</v>
      </c>
      <c r="P5" t="s">
        <v>42</v>
      </c>
      <c r="Q5" t="s">
        <v>43</v>
      </c>
      <c r="R5">
        <v>99999</v>
      </c>
      <c r="S5" t="s">
        <v>30</v>
      </c>
      <c r="T5" t="s">
        <v>48</v>
      </c>
      <c r="U5" t="s">
        <v>50</v>
      </c>
      <c r="V5" t="s">
        <v>39</v>
      </c>
      <c r="W5">
        <v>53</v>
      </c>
      <c r="X5">
        <v>89</v>
      </c>
      <c r="Y5">
        <v>4717</v>
      </c>
      <c r="Z5">
        <v>448.11500000000001</v>
      </c>
    </row>
    <row r="6" spans="1:26" x14ac:dyDescent="0.25">
      <c r="A6">
        <v>1005</v>
      </c>
      <c r="B6" s="17">
        <v>41643</v>
      </c>
      <c r="C6">
        <v>4</v>
      </c>
      <c r="D6" t="s">
        <v>40</v>
      </c>
      <c r="E6" t="s">
        <v>41</v>
      </c>
      <c r="F6" t="s">
        <v>42</v>
      </c>
      <c r="G6" t="s">
        <v>43</v>
      </c>
      <c r="H6">
        <v>99999</v>
      </c>
      <c r="I6" t="s">
        <v>30</v>
      </c>
      <c r="J6" t="s">
        <v>44</v>
      </c>
      <c r="K6" t="s">
        <v>45</v>
      </c>
      <c r="L6" s="17">
        <v>41645</v>
      </c>
      <c r="M6" t="s">
        <v>46</v>
      </c>
      <c r="N6" t="s">
        <v>47</v>
      </c>
      <c r="O6" t="s">
        <v>41</v>
      </c>
      <c r="P6" t="s">
        <v>42</v>
      </c>
      <c r="Q6" t="s">
        <v>43</v>
      </c>
      <c r="R6">
        <v>99999</v>
      </c>
      <c r="S6" t="s">
        <v>30</v>
      </c>
      <c r="T6" t="s">
        <v>48</v>
      </c>
      <c r="U6" t="s">
        <v>38</v>
      </c>
      <c r="V6" t="s">
        <v>39</v>
      </c>
      <c r="W6">
        <v>3.5</v>
      </c>
      <c r="X6">
        <v>11</v>
      </c>
      <c r="Y6">
        <v>38.5</v>
      </c>
      <c r="Z6">
        <v>3.7345000000000002</v>
      </c>
    </row>
    <row r="7" spans="1:26" x14ac:dyDescent="0.25">
      <c r="A7">
        <v>1406</v>
      </c>
      <c r="B7" s="17">
        <v>41977</v>
      </c>
      <c r="C7">
        <v>4</v>
      </c>
      <c r="D7" t="s">
        <v>40</v>
      </c>
      <c r="E7" t="s">
        <v>41</v>
      </c>
      <c r="F7" t="s">
        <v>42</v>
      </c>
      <c r="G7" t="s">
        <v>43</v>
      </c>
      <c r="H7">
        <v>99999</v>
      </c>
      <c r="I7" t="s">
        <v>30</v>
      </c>
      <c r="J7" t="s">
        <v>44</v>
      </c>
      <c r="K7" t="s">
        <v>45</v>
      </c>
      <c r="L7" s="17">
        <v>41979</v>
      </c>
      <c r="M7" t="s">
        <v>46</v>
      </c>
      <c r="N7" t="s">
        <v>47</v>
      </c>
      <c r="O7" t="s">
        <v>41</v>
      </c>
      <c r="P7" t="s">
        <v>42</v>
      </c>
      <c r="Q7" t="s">
        <v>43</v>
      </c>
      <c r="R7">
        <v>99999</v>
      </c>
      <c r="S7" t="s">
        <v>30</v>
      </c>
      <c r="T7" t="s">
        <v>48</v>
      </c>
      <c r="U7" t="s">
        <v>149</v>
      </c>
      <c r="V7" t="s">
        <v>110</v>
      </c>
      <c r="W7">
        <v>81</v>
      </c>
      <c r="X7">
        <v>38</v>
      </c>
      <c r="Y7">
        <v>3078</v>
      </c>
      <c r="Z7">
        <v>292.41000000000003</v>
      </c>
    </row>
    <row r="8" spans="1:26" x14ac:dyDescent="0.25">
      <c r="A8">
        <v>1376</v>
      </c>
      <c r="B8" s="17">
        <v>41977</v>
      </c>
      <c r="C8">
        <v>4</v>
      </c>
      <c r="D8" t="s">
        <v>40</v>
      </c>
      <c r="E8" t="s">
        <v>41</v>
      </c>
      <c r="F8" t="s">
        <v>42</v>
      </c>
      <c r="G8" t="s">
        <v>43</v>
      </c>
      <c r="H8">
        <v>99999</v>
      </c>
      <c r="I8" t="s">
        <v>30</v>
      </c>
      <c r="J8" t="s">
        <v>44</v>
      </c>
      <c r="K8" t="s">
        <v>45</v>
      </c>
      <c r="L8">
        <v>41979</v>
      </c>
      <c r="M8" t="s">
        <v>62</v>
      </c>
      <c r="N8" t="s">
        <v>47</v>
      </c>
      <c r="O8" t="s">
        <v>41</v>
      </c>
      <c r="P8" t="s">
        <v>42</v>
      </c>
      <c r="Q8" t="s">
        <v>43</v>
      </c>
      <c r="R8">
        <v>99999</v>
      </c>
      <c r="S8" t="s">
        <v>30</v>
      </c>
      <c r="T8" t="s">
        <v>35</v>
      </c>
      <c r="U8" t="s">
        <v>64</v>
      </c>
      <c r="V8" t="s">
        <v>65</v>
      </c>
      <c r="W8">
        <v>9.1999999999999993</v>
      </c>
      <c r="X8">
        <v>80</v>
      </c>
      <c r="Y8">
        <v>736</v>
      </c>
      <c r="Z8">
        <v>72.864000000000004</v>
      </c>
    </row>
    <row r="9" spans="1:26" x14ac:dyDescent="0.25">
      <c r="A9">
        <v>1372</v>
      </c>
      <c r="B9" s="17">
        <v>41977</v>
      </c>
      <c r="C9">
        <v>4</v>
      </c>
      <c r="D9" t="s">
        <v>40</v>
      </c>
      <c r="E9" t="s">
        <v>41</v>
      </c>
      <c r="F9" t="s">
        <v>42</v>
      </c>
      <c r="G9" t="s">
        <v>43</v>
      </c>
      <c r="H9">
        <v>99999</v>
      </c>
      <c r="I9" t="s">
        <v>30</v>
      </c>
      <c r="J9" t="s">
        <v>44</v>
      </c>
      <c r="K9" t="s">
        <v>45</v>
      </c>
      <c r="L9" s="17">
        <v>41979</v>
      </c>
      <c r="M9" t="s">
        <v>46</v>
      </c>
      <c r="N9" t="s">
        <v>47</v>
      </c>
      <c r="O9" t="s">
        <v>41</v>
      </c>
      <c r="P9" t="s">
        <v>42</v>
      </c>
      <c r="Q9" t="s">
        <v>43</v>
      </c>
      <c r="R9">
        <v>99999</v>
      </c>
      <c r="S9" t="s">
        <v>30</v>
      </c>
      <c r="T9" t="s">
        <v>48</v>
      </c>
      <c r="U9" t="s">
        <v>38</v>
      </c>
      <c r="V9" t="s">
        <v>39</v>
      </c>
      <c r="W9">
        <v>3.5</v>
      </c>
      <c r="X9">
        <v>70</v>
      </c>
      <c r="Y9">
        <v>245</v>
      </c>
      <c r="Z9">
        <v>24.009999999999998</v>
      </c>
    </row>
    <row r="10" spans="1:26" x14ac:dyDescent="0.25">
      <c r="A10">
        <v>1009</v>
      </c>
      <c r="B10" s="17">
        <v>41643</v>
      </c>
      <c r="C10">
        <v>4</v>
      </c>
      <c r="D10" t="s">
        <v>40</v>
      </c>
      <c r="E10" t="s">
        <v>41</v>
      </c>
      <c r="F10" t="s">
        <v>42</v>
      </c>
      <c r="G10" t="s">
        <v>43</v>
      </c>
      <c r="H10">
        <v>99999</v>
      </c>
      <c r="I10" t="s">
        <v>30</v>
      </c>
      <c r="J10" t="s">
        <v>44</v>
      </c>
      <c r="K10" t="s">
        <v>45</v>
      </c>
      <c r="L10" s="17">
        <v>41645</v>
      </c>
      <c r="M10" t="s">
        <v>62</v>
      </c>
      <c r="N10" t="s">
        <v>47</v>
      </c>
      <c r="O10" t="s">
        <v>41</v>
      </c>
      <c r="P10" t="s">
        <v>42</v>
      </c>
      <c r="Q10" t="s">
        <v>43</v>
      </c>
      <c r="R10">
        <v>99999</v>
      </c>
      <c r="S10" t="s">
        <v>30</v>
      </c>
      <c r="T10" t="s">
        <v>35</v>
      </c>
      <c r="U10" t="s">
        <v>64</v>
      </c>
      <c r="V10" t="s">
        <v>65</v>
      </c>
      <c r="W10">
        <v>9.1999999999999993</v>
      </c>
      <c r="X10">
        <v>88</v>
      </c>
      <c r="Y10">
        <v>809.59999999999991</v>
      </c>
      <c r="Z10">
        <v>79.340799999999987</v>
      </c>
    </row>
    <row r="11" spans="1:26" x14ac:dyDescent="0.25">
      <c r="A11">
        <v>1371</v>
      </c>
      <c r="B11" s="17">
        <v>41977</v>
      </c>
      <c r="C11">
        <v>4</v>
      </c>
      <c r="D11" t="s">
        <v>40</v>
      </c>
      <c r="E11" t="s">
        <v>41</v>
      </c>
      <c r="F11" t="s">
        <v>42</v>
      </c>
      <c r="G11" t="s">
        <v>43</v>
      </c>
      <c r="H11">
        <v>99999</v>
      </c>
      <c r="I11" t="s">
        <v>30</v>
      </c>
      <c r="J11" t="s">
        <v>44</v>
      </c>
      <c r="K11" t="s">
        <v>45</v>
      </c>
      <c r="L11" s="17">
        <v>41979</v>
      </c>
      <c r="M11" t="s">
        <v>46</v>
      </c>
      <c r="N11" t="s">
        <v>47</v>
      </c>
      <c r="O11" t="s">
        <v>41</v>
      </c>
      <c r="P11" t="s">
        <v>42</v>
      </c>
      <c r="Q11" t="s">
        <v>43</v>
      </c>
      <c r="R11">
        <v>99999</v>
      </c>
      <c r="S11" t="s">
        <v>30</v>
      </c>
      <c r="T11" t="s">
        <v>48</v>
      </c>
      <c r="U11" t="s">
        <v>50</v>
      </c>
      <c r="V11" t="s">
        <v>39</v>
      </c>
      <c r="W11">
        <v>53</v>
      </c>
      <c r="X11">
        <v>27</v>
      </c>
      <c r="Y11">
        <v>1431</v>
      </c>
      <c r="Z11">
        <v>143.1</v>
      </c>
    </row>
    <row r="12" spans="1:26" x14ac:dyDescent="0.25">
      <c r="A12">
        <v>1370</v>
      </c>
      <c r="B12" s="17">
        <v>41977</v>
      </c>
      <c r="C12">
        <v>4</v>
      </c>
      <c r="D12" t="s">
        <v>40</v>
      </c>
      <c r="E12" t="s">
        <v>41</v>
      </c>
      <c r="F12" t="s">
        <v>42</v>
      </c>
      <c r="G12" t="s">
        <v>43</v>
      </c>
      <c r="H12">
        <v>99999</v>
      </c>
      <c r="I12" t="s">
        <v>30</v>
      </c>
      <c r="J12" t="s">
        <v>44</v>
      </c>
      <c r="K12" t="s">
        <v>45</v>
      </c>
      <c r="L12" s="17">
        <v>41979</v>
      </c>
      <c r="M12" t="s">
        <v>46</v>
      </c>
      <c r="N12" t="s">
        <v>47</v>
      </c>
      <c r="O12" t="s">
        <v>41</v>
      </c>
      <c r="P12" t="s">
        <v>42</v>
      </c>
      <c r="Q12" t="s">
        <v>43</v>
      </c>
      <c r="R12">
        <v>99999</v>
      </c>
      <c r="S12" t="s">
        <v>30</v>
      </c>
      <c r="T12" t="s">
        <v>48</v>
      </c>
      <c r="U12" t="s">
        <v>49</v>
      </c>
      <c r="V12" t="s">
        <v>39</v>
      </c>
      <c r="W12">
        <v>30</v>
      </c>
      <c r="X12">
        <v>100</v>
      </c>
      <c r="Y12">
        <v>3000</v>
      </c>
      <c r="Z12">
        <v>291</v>
      </c>
    </row>
    <row r="13" spans="1:26" x14ac:dyDescent="0.25">
      <c r="A13">
        <v>1351</v>
      </c>
      <c r="B13" s="17">
        <v>41947</v>
      </c>
      <c r="C13">
        <v>4</v>
      </c>
      <c r="D13" t="s">
        <v>40</v>
      </c>
      <c r="E13" t="s">
        <v>41</v>
      </c>
      <c r="F13" t="s">
        <v>42</v>
      </c>
      <c r="G13" t="s">
        <v>43</v>
      </c>
      <c r="H13">
        <v>99999</v>
      </c>
      <c r="I13" t="s">
        <v>30</v>
      </c>
      <c r="J13" t="s">
        <v>44</v>
      </c>
      <c r="K13" t="s">
        <v>45</v>
      </c>
      <c r="L13" s="17">
        <v>41949</v>
      </c>
      <c r="M13" t="s">
        <v>46</v>
      </c>
      <c r="N13" t="s">
        <v>47</v>
      </c>
      <c r="O13" t="s">
        <v>41</v>
      </c>
      <c r="P13" t="s">
        <v>42</v>
      </c>
      <c r="Q13" t="s">
        <v>43</v>
      </c>
      <c r="R13">
        <v>99999</v>
      </c>
      <c r="S13" t="s">
        <v>30</v>
      </c>
      <c r="T13" t="s">
        <v>48</v>
      </c>
      <c r="U13" t="s">
        <v>150</v>
      </c>
      <c r="V13" t="s">
        <v>151</v>
      </c>
      <c r="W13">
        <v>7</v>
      </c>
      <c r="X13">
        <v>37</v>
      </c>
      <c r="Y13">
        <v>259</v>
      </c>
      <c r="Z13">
        <v>25.382000000000001</v>
      </c>
    </row>
    <row r="14" spans="1:26" x14ac:dyDescent="0.25">
      <c r="A14">
        <v>1350</v>
      </c>
      <c r="B14" s="17">
        <v>41947</v>
      </c>
      <c r="C14">
        <v>4</v>
      </c>
      <c r="D14" t="s">
        <v>40</v>
      </c>
      <c r="E14" t="s">
        <v>41</v>
      </c>
      <c r="F14" t="s">
        <v>42</v>
      </c>
      <c r="G14" t="s">
        <v>43</v>
      </c>
      <c r="H14">
        <v>99999</v>
      </c>
      <c r="I14" t="s">
        <v>30</v>
      </c>
      <c r="J14" t="s">
        <v>44</v>
      </c>
      <c r="K14" t="s">
        <v>45</v>
      </c>
      <c r="L14" s="17">
        <v>41949</v>
      </c>
      <c r="M14" t="s">
        <v>46</v>
      </c>
      <c r="N14" t="s">
        <v>47</v>
      </c>
      <c r="O14" t="s">
        <v>41</v>
      </c>
      <c r="P14" t="s">
        <v>42</v>
      </c>
      <c r="Q14" t="s">
        <v>43</v>
      </c>
      <c r="R14">
        <v>99999</v>
      </c>
      <c r="S14" t="s">
        <v>30</v>
      </c>
      <c r="T14" t="s">
        <v>48</v>
      </c>
      <c r="U14" t="s">
        <v>149</v>
      </c>
      <c r="V14" t="s">
        <v>110</v>
      </c>
      <c r="W14">
        <v>81</v>
      </c>
      <c r="X14">
        <v>52</v>
      </c>
      <c r="Y14">
        <v>4212</v>
      </c>
      <c r="Z14">
        <v>412.77600000000001</v>
      </c>
    </row>
    <row r="15" spans="1:26" x14ac:dyDescent="0.25">
      <c r="A15">
        <v>1310</v>
      </c>
      <c r="B15" s="17">
        <v>41916</v>
      </c>
      <c r="C15">
        <v>4</v>
      </c>
      <c r="D15" t="s">
        <v>40</v>
      </c>
      <c r="E15" t="s">
        <v>41</v>
      </c>
      <c r="F15" t="s">
        <v>42</v>
      </c>
      <c r="G15" t="s">
        <v>43</v>
      </c>
      <c r="H15">
        <v>99999</v>
      </c>
      <c r="I15" t="s">
        <v>30</v>
      </c>
      <c r="J15" t="s">
        <v>44</v>
      </c>
      <c r="K15" t="s">
        <v>45</v>
      </c>
      <c r="L15" s="17">
        <v>41918</v>
      </c>
      <c r="M15" t="s">
        <v>46</v>
      </c>
      <c r="N15" t="s">
        <v>47</v>
      </c>
      <c r="O15" t="s">
        <v>41</v>
      </c>
      <c r="P15" t="s">
        <v>42</v>
      </c>
      <c r="Q15" t="s">
        <v>43</v>
      </c>
      <c r="R15">
        <v>99999</v>
      </c>
      <c r="S15" t="s">
        <v>30</v>
      </c>
      <c r="T15" t="s">
        <v>48</v>
      </c>
      <c r="U15" t="s">
        <v>150</v>
      </c>
      <c r="V15" t="s">
        <v>151</v>
      </c>
      <c r="W15">
        <v>7</v>
      </c>
      <c r="X15">
        <v>29</v>
      </c>
      <c r="Y15">
        <v>203</v>
      </c>
      <c r="Z15">
        <v>20.3</v>
      </c>
    </row>
    <row r="16" spans="1:26" x14ac:dyDescent="0.25">
      <c r="A16">
        <v>1309</v>
      </c>
      <c r="B16" s="17">
        <v>41916</v>
      </c>
      <c r="C16">
        <v>4</v>
      </c>
      <c r="D16" t="s">
        <v>40</v>
      </c>
      <c r="E16" t="s">
        <v>41</v>
      </c>
      <c r="F16" t="s">
        <v>42</v>
      </c>
      <c r="G16" t="s">
        <v>43</v>
      </c>
      <c r="H16">
        <v>99999</v>
      </c>
      <c r="I16" t="s">
        <v>30</v>
      </c>
      <c r="J16" t="s">
        <v>44</v>
      </c>
      <c r="K16" t="s">
        <v>45</v>
      </c>
      <c r="L16" s="17">
        <v>41918</v>
      </c>
      <c r="M16" t="s">
        <v>46</v>
      </c>
      <c r="N16" t="s">
        <v>47</v>
      </c>
      <c r="O16" t="s">
        <v>41</v>
      </c>
      <c r="P16" t="s">
        <v>42</v>
      </c>
      <c r="Q16" t="s">
        <v>43</v>
      </c>
      <c r="R16">
        <v>99999</v>
      </c>
      <c r="S16" t="s">
        <v>30</v>
      </c>
      <c r="T16" t="s">
        <v>48</v>
      </c>
      <c r="U16" t="s">
        <v>149</v>
      </c>
      <c r="V16" t="s">
        <v>110</v>
      </c>
      <c r="W16">
        <v>81</v>
      </c>
      <c r="X16">
        <v>82</v>
      </c>
      <c r="Y16">
        <v>6642</v>
      </c>
      <c r="Z16">
        <v>697.41000000000008</v>
      </c>
    </row>
    <row r="17" spans="1:26" x14ac:dyDescent="0.25">
      <c r="A17">
        <v>1271</v>
      </c>
      <c r="B17" s="17">
        <v>41886</v>
      </c>
      <c r="C17">
        <v>4</v>
      </c>
      <c r="D17" t="s">
        <v>40</v>
      </c>
      <c r="E17" t="s">
        <v>41</v>
      </c>
      <c r="F17" t="s">
        <v>42</v>
      </c>
      <c r="G17" t="s">
        <v>43</v>
      </c>
      <c r="H17">
        <v>99999</v>
      </c>
      <c r="I17" t="s">
        <v>30</v>
      </c>
      <c r="J17" t="s">
        <v>44</v>
      </c>
      <c r="K17" t="s">
        <v>45</v>
      </c>
      <c r="L17" s="17">
        <v>41888</v>
      </c>
      <c r="M17" t="s">
        <v>46</v>
      </c>
      <c r="N17" t="s">
        <v>47</v>
      </c>
      <c r="O17" t="s">
        <v>41</v>
      </c>
      <c r="P17" t="s">
        <v>42</v>
      </c>
      <c r="Q17" t="s">
        <v>43</v>
      </c>
      <c r="R17">
        <v>99999</v>
      </c>
      <c r="S17" t="s">
        <v>30</v>
      </c>
      <c r="T17" t="s">
        <v>48</v>
      </c>
      <c r="U17" t="s">
        <v>150</v>
      </c>
      <c r="V17" t="s">
        <v>151</v>
      </c>
      <c r="W17">
        <v>7</v>
      </c>
      <c r="X17">
        <v>39</v>
      </c>
      <c r="Y17">
        <v>273</v>
      </c>
      <c r="Z17">
        <v>27.3</v>
      </c>
    </row>
    <row r="18" spans="1:26" x14ac:dyDescent="0.25">
      <c r="A18">
        <v>1270</v>
      </c>
      <c r="B18" s="17">
        <v>41886</v>
      </c>
      <c r="C18">
        <v>4</v>
      </c>
      <c r="D18" t="s">
        <v>40</v>
      </c>
      <c r="E18" t="s">
        <v>41</v>
      </c>
      <c r="F18" t="s">
        <v>42</v>
      </c>
      <c r="G18" t="s">
        <v>43</v>
      </c>
      <c r="H18">
        <v>99999</v>
      </c>
      <c r="I18" t="s">
        <v>30</v>
      </c>
      <c r="J18" t="s">
        <v>44</v>
      </c>
      <c r="K18" t="s">
        <v>45</v>
      </c>
      <c r="L18" s="17">
        <v>41888</v>
      </c>
      <c r="M18" t="s">
        <v>46</v>
      </c>
      <c r="N18" t="s">
        <v>47</v>
      </c>
      <c r="O18" t="s">
        <v>41</v>
      </c>
      <c r="P18" t="s">
        <v>42</v>
      </c>
      <c r="Q18" t="s">
        <v>43</v>
      </c>
      <c r="R18">
        <v>99999</v>
      </c>
      <c r="S18" t="s">
        <v>30</v>
      </c>
      <c r="T18" t="s">
        <v>48</v>
      </c>
      <c r="U18" t="s">
        <v>149</v>
      </c>
      <c r="V18" t="s">
        <v>110</v>
      </c>
      <c r="W18">
        <v>81</v>
      </c>
      <c r="X18">
        <v>54</v>
      </c>
      <c r="Y18">
        <v>4374</v>
      </c>
      <c r="Z18">
        <v>437.40000000000003</v>
      </c>
    </row>
    <row r="19" spans="1:26" x14ac:dyDescent="0.25">
      <c r="A19">
        <v>1249</v>
      </c>
      <c r="B19" s="17">
        <v>41855</v>
      </c>
      <c r="C19">
        <v>4</v>
      </c>
      <c r="D19" t="s">
        <v>40</v>
      </c>
      <c r="E19" t="s">
        <v>41</v>
      </c>
      <c r="F19" t="s">
        <v>42</v>
      </c>
      <c r="G19" t="s">
        <v>43</v>
      </c>
      <c r="H19">
        <v>99999</v>
      </c>
      <c r="I19" t="s">
        <v>30</v>
      </c>
      <c r="J19" t="s">
        <v>44</v>
      </c>
      <c r="K19" t="s">
        <v>45</v>
      </c>
      <c r="L19">
        <v>41857</v>
      </c>
      <c r="M19" t="s">
        <v>46</v>
      </c>
      <c r="N19" t="s">
        <v>47</v>
      </c>
      <c r="O19" t="s">
        <v>41</v>
      </c>
      <c r="P19" t="s">
        <v>42</v>
      </c>
      <c r="Q19" t="s">
        <v>43</v>
      </c>
      <c r="R19">
        <v>99999</v>
      </c>
      <c r="S19" t="s">
        <v>30</v>
      </c>
      <c r="T19" t="s">
        <v>48</v>
      </c>
      <c r="U19" t="s">
        <v>150</v>
      </c>
      <c r="V19" t="s">
        <v>151</v>
      </c>
      <c r="W19">
        <v>7</v>
      </c>
      <c r="X19">
        <v>76</v>
      </c>
      <c r="Y19">
        <v>532</v>
      </c>
      <c r="Z19">
        <v>53.732000000000006</v>
      </c>
    </row>
    <row r="20" spans="1:26" x14ac:dyDescent="0.25">
      <c r="A20">
        <v>1248</v>
      </c>
      <c r="B20" s="17">
        <v>41855</v>
      </c>
      <c r="C20">
        <v>4</v>
      </c>
      <c r="D20" t="s">
        <v>40</v>
      </c>
      <c r="E20" t="s">
        <v>41</v>
      </c>
      <c r="F20" t="s">
        <v>42</v>
      </c>
      <c r="G20" t="s">
        <v>43</v>
      </c>
      <c r="H20">
        <v>99999</v>
      </c>
      <c r="I20" t="s">
        <v>30</v>
      </c>
      <c r="J20" t="s">
        <v>44</v>
      </c>
      <c r="K20" t="s">
        <v>45</v>
      </c>
      <c r="L20">
        <v>41857</v>
      </c>
      <c r="M20" t="s">
        <v>46</v>
      </c>
      <c r="N20" t="s">
        <v>47</v>
      </c>
      <c r="O20" t="s">
        <v>41</v>
      </c>
      <c r="P20" t="s">
        <v>42</v>
      </c>
      <c r="Q20" t="s">
        <v>43</v>
      </c>
      <c r="R20">
        <v>99999</v>
      </c>
      <c r="S20" t="s">
        <v>30</v>
      </c>
      <c r="T20" t="s">
        <v>48</v>
      </c>
      <c r="U20" t="s">
        <v>149</v>
      </c>
      <c r="V20" t="s">
        <v>110</v>
      </c>
      <c r="W20">
        <v>81</v>
      </c>
      <c r="X20">
        <v>32</v>
      </c>
      <c r="Y20">
        <v>2592</v>
      </c>
      <c r="Z20">
        <v>251.42399999999998</v>
      </c>
    </row>
    <row r="21" spans="1:26" x14ac:dyDescent="0.25">
      <c r="A21">
        <v>1204</v>
      </c>
      <c r="B21" s="17">
        <v>41824</v>
      </c>
      <c r="C21">
        <v>4</v>
      </c>
      <c r="D21" t="s">
        <v>40</v>
      </c>
      <c r="E21" t="s">
        <v>41</v>
      </c>
      <c r="F21" t="s">
        <v>42</v>
      </c>
      <c r="G21" t="s">
        <v>43</v>
      </c>
      <c r="H21">
        <v>99999</v>
      </c>
      <c r="I21" t="s">
        <v>30</v>
      </c>
      <c r="J21" t="s">
        <v>44</v>
      </c>
      <c r="K21" t="s">
        <v>45</v>
      </c>
      <c r="L21" s="17">
        <v>41826</v>
      </c>
      <c r="M21" t="s">
        <v>46</v>
      </c>
      <c r="N21" t="s">
        <v>47</v>
      </c>
      <c r="O21" t="s">
        <v>41</v>
      </c>
      <c r="P21" t="s">
        <v>42</v>
      </c>
      <c r="Q21" t="s">
        <v>43</v>
      </c>
      <c r="R21">
        <v>99999</v>
      </c>
      <c r="S21" t="s">
        <v>30</v>
      </c>
      <c r="T21" t="s">
        <v>48</v>
      </c>
      <c r="U21" t="s">
        <v>150</v>
      </c>
      <c r="V21" t="s">
        <v>151</v>
      </c>
      <c r="W21">
        <v>7</v>
      </c>
      <c r="X21">
        <v>19</v>
      </c>
      <c r="Y21">
        <v>133</v>
      </c>
      <c r="Z21">
        <v>12.901</v>
      </c>
    </row>
    <row r="22" spans="1:26" x14ac:dyDescent="0.25">
      <c r="A22">
        <v>1203</v>
      </c>
      <c r="B22" s="17">
        <v>41824</v>
      </c>
      <c r="C22">
        <v>4</v>
      </c>
      <c r="D22" t="s">
        <v>40</v>
      </c>
      <c r="E22" t="s">
        <v>41</v>
      </c>
      <c r="F22" t="s">
        <v>42</v>
      </c>
      <c r="G22" t="s">
        <v>43</v>
      </c>
      <c r="H22">
        <v>99999</v>
      </c>
      <c r="I22" t="s">
        <v>30</v>
      </c>
      <c r="J22" t="s">
        <v>44</v>
      </c>
      <c r="K22" t="s">
        <v>45</v>
      </c>
      <c r="L22" s="17">
        <v>41826</v>
      </c>
      <c r="M22" t="s">
        <v>46</v>
      </c>
      <c r="N22" t="s">
        <v>47</v>
      </c>
      <c r="O22" t="s">
        <v>41</v>
      </c>
      <c r="P22" t="s">
        <v>42</v>
      </c>
      <c r="Q22" t="s">
        <v>43</v>
      </c>
      <c r="R22">
        <v>99999</v>
      </c>
      <c r="S22" t="s">
        <v>30</v>
      </c>
      <c r="T22" t="s">
        <v>48</v>
      </c>
      <c r="U22" t="s">
        <v>149</v>
      </c>
      <c r="V22" t="s">
        <v>110</v>
      </c>
      <c r="W22">
        <v>81</v>
      </c>
      <c r="X22">
        <v>55</v>
      </c>
      <c r="Y22">
        <v>4455</v>
      </c>
      <c r="Z22">
        <v>445.5</v>
      </c>
    </row>
    <row r="23" spans="1:26" x14ac:dyDescent="0.25">
      <c r="A23">
        <v>1186</v>
      </c>
      <c r="B23" s="17">
        <v>41794</v>
      </c>
      <c r="C23">
        <v>4</v>
      </c>
      <c r="D23" t="s">
        <v>40</v>
      </c>
      <c r="E23" t="s">
        <v>41</v>
      </c>
      <c r="F23" t="s">
        <v>42</v>
      </c>
      <c r="G23" t="s">
        <v>43</v>
      </c>
      <c r="H23">
        <v>99999</v>
      </c>
      <c r="I23" t="s">
        <v>30</v>
      </c>
      <c r="J23" t="s">
        <v>44</v>
      </c>
      <c r="K23" t="s">
        <v>45</v>
      </c>
      <c r="N23" t="s">
        <v>47</v>
      </c>
      <c r="O23" t="s">
        <v>41</v>
      </c>
      <c r="P23" t="s">
        <v>42</v>
      </c>
      <c r="Q23" t="s">
        <v>43</v>
      </c>
      <c r="R23">
        <v>99999</v>
      </c>
      <c r="S23" t="s">
        <v>30</v>
      </c>
      <c r="U23" t="s">
        <v>145</v>
      </c>
      <c r="V23" t="s">
        <v>132</v>
      </c>
      <c r="W23">
        <v>38</v>
      </c>
      <c r="X23">
        <v>85</v>
      </c>
      <c r="Y23">
        <v>3230</v>
      </c>
      <c r="Z23">
        <v>319.77</v>
      </c>
    </row>
    <row r="24" spans="1:26" x14ac:dyDescent="0.25">
      <c r="A24">
        <v>1162</v>
      </c>
      <c r="B24" s="17">
        <v>41794</v>
      </c>
      <c r="C24">
        <v>4</v>
      </c>
      <c r="D24" t="s">
        <v>40</v>
      </c>
      <c r="E24" t="s">
        <v>41</v>
      </c>
      <c r="F24" t="s">
        <v>42</v>
      </c>
      <c r="G24" t="s">
        <v>43</v>
      </c>
      <c r="H24">
        <v>99999</v>
      </c>
      <c r="I24" t="s">
        <v>30</v>
      </c>
      <c r="J24" t="s">
        <v>44</v>
      </c>
      <c r="K24" t="s">
        <v>45</v>
      </c>
      <c r="L24">
        <v>41796</v>
      </c>
      <c r="M24" t="s">
        <v>46</v>
      </c>
      <c r="N24" t="s">
        <v>47</v>
      </c>
      <c r="O24" t="s">
        <v>41</v>
      </c>
      <c r="P24" t="s">
        <v>42</v>
      </c>
      <c r="Q24" t="s">
        <v>43</v>
      </c>
      <c r="R24">
        <v>99999</v>
      </c>
      <c r="S24" t="s">
        <v>30</v>
      </c>
      <c r="T24" t="s">
        <v>48</v>
      </c>
      <c r="U24" t="s">
        <v>150</v>
      </c>
      <c r="V24" t="s">
        <v>151</v>
      </c>
      <c r="W24">
        <v>7</v>
      </c>
      <c r="X24">
        <v>61</v>
      </c>
      <c r="Y24">
        <v>427</v>
      </c>
      <c r="Z24">
        <v>42.273000000000003</v>
      </c>
    </row>
    <row r="25" spans="1:26" x14ac:dyDescent="0.25">
      <c r="A25">
        <v>1161</v>
      </c>
      <c r="B25" s="17">
        <v>41794</v>
      </c>
      <c r="C25">
        <v>4</v>
      </c>
      <c r="D25" t="s">
        <v>40</v>
      </c>
      <c r="E25" t="s">
        <v>41</v>
      </c>
      <c r="F25" t="s">
        <v>42</v>
      </c>
      <c r="G25" t="s">
        <v>43</v>
      </c>
      <c r="H25">
        <v>99999</v>
      </c>
      <c r="I25" t="s">
        <v>30</v>
      </c>
      <c r="J25" t="s">
        <v>44</v>
      </c>
      <c r="K25" t="s">
        <v>45</v>
      </c>
      <c r="L25">
        <v>41796</v>
      </c>
      <c r="M25" t="s">
        <v>46</v>
      </c>
      <c r="N25" t="s">
        <v>47</v>
      </c>
      <c r="O25" t="s">
        <v>41</v>
      </c>
      <c r="P25" t="s">
        <v>42</v>
      </c>
      <c r="Q25" t="s">
        <v>43</v>
      </c>
      <c r="R25">
        <v>99999</v>
      </c>
      <c r="S25" t="s">
        <v>30</v>
      </c>
      <c r="T25" t="s">
        <v>48</v>
      </c>
      <c r="U25" t="s">
        <v>149</v>
      </c>
      <c r="V25" t="s">
        <v>110</v>
      </c>
      <c r="W25">
        <v>81</v>
      </c>
      <c r="X25">
        <v>98</v>
      </c>
      <c r="Y25">
        <v>7938</v>
      </c>
      <c r="Z25">
        <v>769.98599999999999</v>
      </c>
    </row>
    <row r="26" spans="1:26" x14ac:dyDescent="0.25">
      <c r="A26">
        <v>1129</v>
      </c>
      <c r="B26" s="17">
        <v>41763</v>
      </c>
      <c r="C26">
        <v>4</v>
      </c>
      <c r="D26" t="s">
        <v>40</v>
      </c>
      <c r="E26" t="s">
        <v>41</v>
      </c>
      <c r="F26" t="s">
        <v>42</v>
      </c>
      <c r="G26" t="s">
        <v>43</v>
      </c>
      <c r="H26">
        <v>99999</v>
      </c>
      <c r="I26" t="s">
        <v>30</v>
      </c>
      <c r="J26" t="s">
        <v>44</v>
      </c>
      <c r="K26" t="s">
        <v>45</v>
      </c>
      <c r="L26" s="17">
        <v>41765</v>
      </c>
      <c r="M26" t="s">
        <v>46</v>
      </c>
      <c r="N26" t="s">
        <v>47</v>
      </c>
      <c r="O26" t="s">
        <v>41</v>
      </c>
      <c r="P26" t="s">
        <v>42</v>
      </c>
      <c r="Q26" t="s">
        <v>43</v>
      </c>
      <c r="R26">
        <v>99999</v>
      </c>
      <c r="S26" t="s">
        <v>30</v>
      </c>
      <c r="T26" t="s">
        <v>48</v>
      </c>
      <c r="U26" t="s">
        <v>150</v>
      </c>
      <c r="V26" t="s">
        <v>151</v>
      </c>
      <c r="W26">
        <v>7</v>
      </c>
      <c r="X26">
        <v>72</v>
      </c>
      <c r="Y26">
        <v>504</v>
      </c>
      <c r="Z26">
        <v>51.912000000000006</v>
      </c>
    </row>
    <row r="27" spans="1:26" x14ac:dyDescent="0.25">
      <c r="A27">
        <v>1128</v>
      </c>
      <c r="B27" s="17">
        <v>41763</v>
      </c>
      <c r="C27">
        <v>4</v>
      </c>
      <c r="D27" t="s">
        <v>40</v>
      </c>
      <c r="E27" t="s">
        <v>41</v>
      </c>
      <c r="F27" t="s">
        <v>42</v>
      </c>
      <c r="G27" t="s">
        <v>43</v>
      </c>
      <c r="H27">
        <v>99999</v>
      </c>
      <c r="I27" t="s">
        <v>30</v>
      </c>
      <c r="J27" t="s">
        <v>44</v>
      </c>
      <c r="K27" t="s">
        <v>45</v>
      </c>
      <c r="L27" s="17">
        <v>41765</v>
      </c>
      <c r="M27" t="s">
        <v>46</v>
      </c>
      <c r="N27" t="s">
        <v>47</v>
      </c>
      <c r="O27" t="s">
        <v>41</v>
      </c>
      <c r="P27" t="s">
        <v>42</v>
      </c>
      <c r="Q27" t="s">
        <v>43</v>
      </c>
      <c r="R27">
        <v>99999</v>
      </c>
      <c r="S27" t="s">
        <v>30</v>
      </c>
      <c r="T27" t="s">
        <v>48</v>
      </c>
      <c r="U27" t="s">
        <v>149</v>
      </c>
      <c r="V27" t="s">
        <v>110</v>
      </c>
      <c r="W27">
        <v>81</v>
      </c>
      <c r="X27">
        <v>23</v>
      </c>
      <c r="Y27">
        <v>1863</v>
      </c>
      <c r="Z27">
        <v>195.61500000000001</v>
      </c>
    </row>
    <row r="28" spans="1:26" x14ac:dyDescent="0.25">
      <c r="A28">
        <v>1085</v>
      </c>
      <c r="B28" s="17">
        <v>41733</v>
      </c>
      <c r="C28">
        <v>4</v>
      </c>
      <c r="D28" t="s">
        <v>40</v>
      </c>
      <c r="E28" t="s">
        <v>41</v>
      </c>
      <c r="F28" t="s">
        <v>42</v>
      </c>
      <c r="G28" t="s">
        <v>43</v>
      </c>
      <c r="H28">
        <v>99999</v>
      </c>
      <c r="I28" t="s">
        <v>30</v>
      </c>
      <c r="J28" t="s">
        <v>44</v>
      </c>
      <c r="K28" t="s">
        <v>45</v>
      </c>
      <c r="L28">
        <v>41735</v>
      </c>
      <c r="M28" t="s">
        <v>62</v>
      </c>
      <c r="N28" t="s">
        <v>47</v>
      </c>
      <c r="O28" t="s">
        <v>41</v>
      </c>
      <c r="P28" t="s">
        <v>42</v>
      </c>
      <c r="Q28" t="s">
        <v>43</v>
      </c>
      <c r="R28">
        <v>99999</v>
      </c>
      <c r="S28" t="s">
        <v>30</v>
      </c>
      <c r="T28" t="s">
        <v>35</v>
      </c>
      <c r="U28" t="s">
        <v>64</v>
      </c>
      <c r="V28" t="s">
        <v>65</v>
      </c>
      <c r="W28">
        <v>9.1999999999999993</v>
      </c>
      <c r="X28">
        <v>62</v>
      </c>
      <c r="Y28">
        <v>570.4</v>
      </c>
      <c r="Z28">
        <v>58.751199999999997</v>
      </c>
    </row>
    <row r="29" spans="1:26" x14ac:dyDescent="0.25">
      <c r="A29">
        <v>1081</v>
      </c>
      <c r="B29" s="17">
        <v>41733</v>
      </c>
      <c r="C29">
        <v>4</v>
      </c>
      <c r="D29" t="s">
        <v>40</v>
      </c>
      <c r="E29" t="s">
        <v>41</v>
      </c>
      <c r="F29" t="s">
        <v>42</v>
      </c>
      <c r="G29" t="s">
        <v>43</v>
      </c>
      <c r="H29">
        <v>99999</v>
      </c>
      <c r="I29" t="s">
        <v>30</v>
      </c>
      <c r="J29" t="s">
        <v>44</v>
      </c>
      <c r="K29" t="s">
        <v>45</v>
      </c>
      <c r="L29" s="17">
        <v>41735</v>
      </c>
      <c r="M29" t="s">
        <v>46</v>
      </c>
      <c r="N29" t="s">
        <v>47</v>
      </c>
      <c r="O29" t="s">
        <v>41</v>
      </c>
      <c r="P29" t="s">
        <v>42</v>
      </c>
      <c r="Q29" t="s">
        <v>43</v>
      </c>
      <c r="R29">
        <v>99999</v>
      </c>
      <c r="S29" t="s">
        <v>30</v>
      </c>
      <c r="T29" t="s">
        <v>48</v>
      </c>
      <c r="U29" t="s">
        <v>38</v>
      </c>
      <c r="V29" t="s">
        <v>39</v>
      </c>
      <c r="W29">
        <v>3.5</v>
      </c>
      <c r="X29">
        <v>48</v>
      </c>
      <c r="Y29">
        <v>168</v>
      </c>
      <c r="Z29">
        <v>16.295999999999999</v>
      </c>
    </row>
    <row r="30" spans="1:26" x14ac:dyDescent="0.25">
      <c r="A30">
        <v>1065</v>
      </c>
      <c r="B30" s="17">
        <v>41702</v>
      </c>
      <c r="C30">
        <v>4</v>
      </c>
      <c r="D30" t="s">
        <v>40</v>
      </c>
      <c r="E30" t="s">
        <v>41</v>
      </c>
      <c r="F30" t="s">
        <v>42</v>
      </c>
      <c r="G30" t="s">
        <v>43</v>
      </c>
      <c r="H30">
        <v>99999</v>
      </c>
      <c r="I30" t="s">
        <v>30</v>
      </c>
      <c r="J30" t="s">
        <v>44</v>
      </c>
      <c r="K30" t="s">
        <v>45</v>
      </c>
      <c r="L30" s="17">
        <v>41704</v>
      </c>
      <c r="M30" t="s">
        <v>46</v>
      </c>
      <c r="N30" t="s">
        <v>47</v>
      </c>
      <c r="O30" t="s">
        <v>41</v>
      </c>
      <c r="P30" t="s">
        <v>42</v>
      </c>
      <c r="Q30" t="s">
        <v>43</v>
      </c>
      <c r="R30">
        <v>99999</v>
      </c>
      <c r="S30" t="s">
        <v>30</v>
      </c>
      <c r="T30" t="s">
        <v>48</v>
      </c>
      <c r="U30" t="s">
        <v>150</v>
      </c>
      <c r="V30" t="s">
        <v>151</v>
      </c>
      <c r="W30">
        <v>7</v>
      </c>
      <c r="X30">
        <v>37</v>
      </c>
      <c r="Y30">
        <v>259</v>
      </c>
      <c r="Z30">
        <v>24.605</v>
      </c>
    </row>
    <row r="31" spans="1:26" x14ac:dyDescent="0.25">
      <c r="A31">
        <v>1064</v>
      </c>
      <c r="B31" s="17">
        <v>41702</v>
      </c>
      <c r="C31">
        <v>4</v>
      </c>
      <c r="D31" t="s">
        <v>40</v>
      </c>
      <c r="E31" t="s">
        <v>41</v>
      </c>
      <c r="F31" t="s">
        <v>42</v>
      </c>
      <c r="G31" t="s">
        <v>43</v>
      </c>
      <c r="H31">
        <v>99999</v>
      </c>
      <c r="I31" t="s">
        <v>30</v>
      </c>
      <c r="J31" t="s">
        <v>44</v>
      </c>
      <c r="K31" t="s">
        <v>45</v>
      </c>
      <c r="L31" s="17">
        <v>41704</v>
      </c>
      <c r="M31" t="s">
        <v>46</v>
      </c>
      <c r="N31" t="s">
        <v>47</v>
      </c>
      <c r="O31" t="s">
        <v>41</v>
      </c>
      <c r="P31" t="s">
        <v>42</v>
      </c>
      <c r="Q31" t="s">
        <v>43</v>
      </c>
      <c r="R31">
        <v>99999</v>
      </c>
      <c r="S31" t="s">
        <v>30</v>
      </c>
      <c r="T31" t="s">
        <v>48</v>
      </c>
      <c r="U31" t="s">
        <v>149</v>
      </c>
      <c r="V31" t="s">
        <v>110</v>
      </c>
      <c r="W31">
        <v>81</v>
      </c>
      <c r="X31">
        <v>77</v>
      </c>
      <c r="Y31">
        <v>6237</v>
      </c>
      <c r="Z31">
        <v>642.41100000000006</v>
      </c>
    </row>
    <row r="32" spans="1:26" x14ac:dyDescent="0.25">
      <c r="A32">
        <v>1050</v>
      </c>
      <c r="B32" s="17">
        <v>41674</v>
      </c>
      <c r="C32">
        <v>4</v>
      </c>
      <c r="D32" t="s">
        <v>40</v>
      </c>
      <c r="E32" t="s">
        <v>41</v>
      </c>
      <c r="F32" t="s">
        <v>42</v>
      </c>
      <c r="G32" t="s">
        <v>43</v>
      </c>
      <c r="H32">
        <v>99999</v>
      </c>
      <c r="I32" t="s">
        <v>30</v>
      </c>
      <c r="J32" t="s">
        <v>44</v>
      </c>
      <c r="K32" t="s">
        <v>45</v>
      </c>
      <c r="N32" t="s">
        <v>47</v>
      </c>
      <c r="O32" t="s">
        <v>41</v>
      </c>
      <c r="P32" t="s">
        <v>42</v>
      </c>
      <c r="Q32" t="s">
        <v>43</v>
      </c>
      <c r="R32">
        <v>99999</v>
      </c>
      <c r="S32" t="s">
        <v>30</v>
      </c>
      <c r="U32" t="s">
        <v>145</v>
      </c>
      <c r="V32" t="s">
        <v>132</v>
      </c>
      <c r="W32">
        <v>38</v>
      </c>
      <c r="X32">
        <v>96</v>
      </c>
      <c r="Y32">
        <v>3648</v>
      </c>
      <c r="Z32">
        <v>346.56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9"/>
  <sheetViews>
    <sheetView zoomScale="90" workbookViewId="0">
      <selection activeCell="A4" sqref="A4:B6"/>
    </sheetView>
  </sheetViews>
  <sheetFormatPr defaultRowHeight="15" x14ac:dyDescent="0.25"/>
  <cols>
    <col min="1" max="1" width="13.28515625" bestFit="1" customWidth="1"/>
    <col min="2" max="2" width="15.5703125" style="10" bestFit="1" customWidth="1"/>
  </cols>
  <sheetData>
    <row r="3" spans="1:2" x14ac:dyDescent="0.25">
      <c r="A3" s="8" t="s">
        <v>163</v>
      </c>
      <c r="B3" s="10" t="s">
        <v>165</v>
      </c>
    </row>
    <row r="4" spans="1:2" x14ac:dyDescent="0.25">
      <c r="A4" s="9" t="s">
        <v>40</v>
      </c>
      <c r="B4" s="18">
        <v>0.17953859938913502</v>
      </c>
    </row>
    <row r="5" spans="1:2" x14ac:dyDescent="0.25">
      <c r="A5" s="9" t="s">
        <v>56</v>
      </c>
      <c r="B5" s="18">
        <v>0.13418085362031359</v>
      </c>
    </row>
    <row r="6" spans="1:2" x14ac:dyDescent="0.25">
      <c r="A6" s="9" t="s">
        <v>90</v>
      </c>
      <c r="B6" s="18">
        <v>0.11682215516552065</v>
      </c>
    </row>
    <row r="7" spans="1:2" x14ac:dyDescent="0.25">
      <c r="A7" s="9" t="s">
        <v>82</v>
      </c>
      <c r="B7" s="18">
        <v>0.10002561305641586</v>
      </c>
    </row>
    <row r="8" spans="1:2" x14ac:dyDescent="0.25">
      <c r="A8" s="9" t="s">
        <v>118</v>
      </c>
      <c r="B8" s="18">
        <v>9.8454167594908368E-2</v>
      </c>
    </row>
    <row r="9" spans="1:2" x14ac:dyDescent="0.25">
      <c r="A9" s="9" t="s">
        <v>125</v>
      </c>
      <c r="B9" s="18">
        <v>8.6937405367453285E-2</v>
      </c>
    </row>
    <row r="10" spans="1:2" x14ac:dyDescent="0.25">
      <c r="A10" s="9" t="s">
        <v>97</v>
      </c>
      <c r="B10" s="18">
        <v>7.7857411174219654E-2</v>
      </c>
    </row>
    <row r="11" spans="1:2" x14ac:dyDescent="0.25">
      <c r="A11" s="9" t="s">
        <v>140</v>
      </c>
      <c r="B11" s="18">
        <v>7.5386007788250595E-2</v>
      </c>
    </row>
    <row r="12" spans="1:2" x14ac:dyDescent="0.25">
      <c r="A12" s="9" t="s">
        <v>74</v>
      </c>
      <c r="B12" s="18">
        <v>7.2171360754554659E-2</v>
      </c>
    </row>
    <row r="13" spans="1:2" x14ac:dyDescent="0.25">
      <c r="A13" s="9" t="s">
        <v>113</v>
      </c>
      <c r="B13" s="18">
        <v>5.862642608922837E-2</v>
      </c>
    </row>
    <row r="14" spans="1:2" x14ac:dyDescent="0.25">
      <c r="A14" s="9" t="s">
        <v>164</v>
      </c>
      <c r="B14" s="18">
        <v>1</v>
      </c>
    </row>
    <row r="15" spans="1:2" x14ac:dyDescent="0.25">
      <c r="B15"/>
    </row>
    <row r="16" spans="1:2" x14ac:dyDescent="0.25">
      <c r="B16"/>
    </row>
    <row r="17" spans="2:2" x14ac:dyDescent="0.25">
      <c r="B17"/>
    </row>
    <row r="18" spans="2:2" x14ac:dyDescent="0.25">
      <c r="B18"/>
    </row>
    <row r="19" spans="2:2" x14ac:dyDescent="0.25">
      <c r="B19"/>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8099-34CF-4518-99AB-774C01E604B7}">
  <dimension ref="A3:B19"/>
  <sheetViews>
    <sheetView zoomScale="90" workbookViewId="0">
      <selection activeCell="A4" sqref="A4:B6"/>
    </sheetView>
  </sheetViews>
  <sheetFormatPr defaultRowHeight="15" x14ac:dyDescent="0.25"/>
  <cols>
    <col min="1" max="1" width="13.28515625" bestFit="1" customWidth="1"/>
    <col min="2" max="2" width="15.5703125" style="10" bestFit="1" customWidth="1"/>
  </cols>
  <sheetData>
    <row r="3" spans="1:2" x14ac:dyDescent="0.25">
      <c r="A3" s="8" t="s">
        <v>163</v>
      </c>
      <c r="B3" s="10" t="s">
        <v>165</v>
      </c>
    </row>
    <row r="4" spans="1:2" x14ac:dyDescent="0.25">
      <c r="A4" s="9" t="s">
        <v>40</v>
      </c>
      <c r="B4" s="18">
        <v>0.41700638447044525</v>
      </c>
    </row>
    <row r="5" spans="1:2" x14ac:dyDescent="0.25">
      <c r="A5" s="9" t="s">
        <v>56</v>
      </c>
      <c r="B5" s="18">
        <v>0.31165594932646645</v>
      </c>
    </row>
    <row r="6" spans="1:2" x14ac:dyDescent="0.25">
      <c r="A6" s="9" t="s">
        <v>90</v>
      </c>
      <c r="B6" s="18">
        <v>0.2713376662030883</v>
      </c>
    </row>
    <row r="7" spans="1:2" x14ac:dyDescent="0.25">
      <c r="A7" s="9" t="s">
        <v>164</v>
      </c>
      <c r="B7" s="18">
        <v>1</v>
      </c>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2"/>
  <sheetViews>
    <sheetView workbookViewId="0">
      <selection activeCell="N10" sqref="N10"/>
    </sheetView>
  </sheetViews>
  <sheetFormatPr defaultRowHeight="15" x14ac:dyDescent="0.25"/>
  <cols>
    <col min="1" max="1" width="13.140625" bestFit="1" customWidth="1"/>
    <col min="2" max="2" width="15.5703125" style="10" bestFit="1" customWidth="1"/>
  </cols>
  <sheetData>
    <row r="3" spans="1:2" x14ac:dyDescent="0.25">
      <c r="A3" s="8" t="s">
        <v>163</v>
      </c>
      <c r="B3" s="10" t="s">
        <v>165</v>
      </c>
    </row>
    <row r="4" spans="1:2" x14ac:dyDescent="0.25">
      <c r="A4" s="9" t="s">
        <v>61</v>
      </c>
      <c r="B4" s="10">
        <v>141680.33999999997</v>
      </c>
    </row>
    <row r="5" spans="1:2" x14ac:dyDescent="0.25">
      <c r="A5" s="9" t="s">
        <v>45</v>
      </c>
      <c r="B5" s="10">
        <v>108275.51</v>
      </c>
    </row>
    <row r="6" spans="1:2" x14ac:dyDescent="0.25">
      <c r="A6" s="9" t="s">
        <v>95</v>
      </c>
      <c r="B6" s="10">
        <v>93858.329999999987</v>
      </c>
    </row>
    <row r="7" spans="1:2" x14ac:dyDescent="0.25">
      <c r="A7" s="9" t="s">
        <v>32</v>
      </c>
      <c r="B7" s="10">
        <v>91251.979999999981</v>
      </c>
    </row>
    <row r="8" spans="1:2" x14ac:dyDescent="0.25">
      <c r="A8" s="9" t="s">
        <v>164</v>
      </c>
      <c r="B8" s="10">
        <v>435066.15999999992</v>
      </c>
    </row>
    <row r="9" spans="1:2" x14ac:dyDescent="0.25">
      <c r="B9"/>
    </row>
    <row r="10" spans="1:2" x14ac:dyDescent="0.25">
      <c r="B10"/>
    </row>
    <row r="11" spans="1:2" x14ac:dyDescent="0.25">
      <c r="B11"/>
    </row>
    <row r="12" spans="1:2" x14ac:dyDescent="0.25">
      <c r="B1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2"/>
  <sheetViews>
    <sheetView workbookViewId="0">
      <selection activeCell="B4" sqref="B4:B6"/>
    </sheetView>
  </sheetViews>
  <sheetFormatPr defaultRowHeight="15" x14ac:dyDescent="0.25"/>
  <cols>
    <col min="1" max="1" width="15.7109375" bestFit="1" customWidth="1"/>
    <col min="2" max="2" width="15.5703125" style="10" bestFit="1" customWidth="1"/>
  </cols>
  <sheetData>
    <row r="3" spans="1:2" x14ac:dyDescent="0.25">
      <c r="A3" s="8" t="s">
        <v>163</v>
      </c>
      <c r="B3" s="10" t="s">
        <v>165</v>
      </c>
    </row>
    <row r="4" spans="1:2" x14ac:dyDescent="0.25">
      <c r="A4" s="9" t="s">
        <v>60</v>
      </c>
      <c r="B4" s="18">
        <v>0.39297327536382004</v>
      </c>
    </row>
    <row r="5" spans="1:2" x14ac:dyDescent="0.25">
      <c r="A5" s="9" t="s">
        <v>94</v>
      </c>
      <c r="B5" s="18">
        <v>0.35379364492229431</v>
      </c>
    </row>
    <row r="6" spans="1:2" x14ac:dyDescent="0.25">
      <c r="A6" s="9" t="s">
        <v>44</v>
      </c>
      <c r="B6" s="18">
        <v>0.25323307971388576</v>
      </c>
    </row>
    <row r="7" spans="1:2" x14ac:dyDescent="0.25">
      <c r="A7" s="9" t="s">
        <v>164</v>
      </c>
      <c r="B7" s="18">
        <v>1</v>
      </c>
    </row>
    <row r="8" spans="1:2" x14ac:dyDescent="0.25">
      <c r="B8"/>
    </row>
    <row r="9" spans="1:2" x14ac:dyDescent="0.25">
      <c r="B9"/>
    </row>
    <row r="10" spans="1:2" x14ac:dyDescent="0.25">
      <c r="B10"/>
    </row>
    <row r="11" spans="1:2" x14ac:dyDescent="0.25">
      <c r="B11"/>
    </row>
    <row r="12" spans="1:2" x14ac:dyDescent="0.25">
      <c r="B12"/>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9"/>
  <sheetViews>
    <sheetView workbookViewId="0">
      <selection activeCell="A4" sqref="A4:B9"/>
    </sheetView>
  </sheetViews>
  <sheetFormatPr defaultRowHeight="15" x14ac:dyDescent="0.25"/>
  <cols>
    <col min="1" max="1" width="15.140625" bestFit="1" customWidth="1"/>
    <col min="2" max="2" width="15.5703125" style="10" bestFit="1" customWidth="1"/>
  </cols>
  <sheetData>
    <row r="3" spans="1:2" x14ac:dyDescent="0.25">
      <c r="A3" s="8" t="s">
        <v>163</v>
      </c>
      <c r="B3" s="10" t="s">
        <v>165</v>
      </c>
    </row>
    <row r="4" spans="1:2" x14ac:dyDescent="0.25">
      <c r="A4" s="9" t="s">
        <v>37</v>
      </c>
      <c r="B4" s="10">
        <v>110577.10999999999</v>
      </c>
    </row>
    <row r="5" spans="1:2" x14ac:dyDescent="0.25">
      <c r="A5" s="9" t="s">
        <v>89</v>
      </c>
      <c r="B5" s="10">
        <v>69000</v>
      </c>
    </row>
    <row r="6" spans="1:2" x14ac:dyDescent="0.25">
      <c r="A6" s="9" t="s">
        <v>110</v>
      </c>
      <c r="B6" s="10">
        <v>51541</v>
      </c>
    </row>
    <row r="7" spans="1:2" x14ac:dyDescent="0.25">
      <c r="A7" s="9" t="s">
        <v>164</v>
      </c>
      <c r="B7" s="10">
        <v>231118.11</v>
      </c>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65"/>
  <sheetViews>
    <sheetView workbookViewId="0">
      <selection activeCell="H23" sqref="H23"/>
    </sheetView>
  </sheetViews>
  <sheetFormatPr defaultRowHeight="15" x14ac:dyDescent="0.25"/>
  <cols>
    <col min="1" max="1" width="13.140625" bestFit="1" customWidth="1"/>
    <col min="2" max="2" width="15.5703125" style="10" bestFit="1" customWidth="1"/>
  </cols>
  <sheetData>
    <row r="3" spans="1:2" x14ac:dyDescent="0.25">
      <c r="A3" s="8" t="s">
        <v>163</v>
      </c>
      <c r="B3" s="10" t="s">
        <v>165</v>
      </c>
    </row>
    <row r="4" spans="1:2" x14ac:dyDescent="0.25">
      <c r="A4" s="9" t="s">
        <v>166</v>
      </c>
      <c r="B4" s="10">
        <v>32907.839999999997</v>
      </c>
    </row>
    <row r="5" spans="1:2" x14ac:dyDescent="0.25">
      <c r="A5" s="9" t="s">
        <v>167</v>
      </c>
      <c r="B5" s="10">
        <v>19985.5</v>
      </c>
    </row>
    <row r="6" spans="1:2" x14ac:dyDescent="0.25">
      <c r="A6" s="9" t="s">
        <v>168</v>
      </c>
      <c r="B6" s="10">
        <v>30852.6</v>
      </c>
    </row>
    <row r="7" spans="1:2" x14ac:dyDescent="0.25">
      <c r="A7" s="9" t="s">
        <v>169</v>
      </c>
      <c r="B7" s="10">
        <v>20771.789999999997</v>
      </c>
    </row>
    <row r="8" spans="1:2" x14ac:dyDescent="0.25">
      <c r="A8" s="9" t="s">
        <v>170</v>
      </c>
      <c r="B8" s="10">
        <v>34307.049999999996</v>
      </c>
    </row>
    <row r="9" spans="1:2" x14ac:dyDescent="0.25">
      <c r="A9" s="9" t="s">
        <v>171</v>
      </c>
      <c r="B9" s="10">
        <v>55601.61</v>
      </c>
    </row>
    <row r="10" spans="1:2" x14ac:dyDescent="0.25">
      <c r="A10" s="9" t="s">
        <v>172</v>
      </c>
      <c r="B10" s="10">
        <v>27318.539999999997</v>
      </c>
    </row>
    <row r="11" spans="1:2" x14ac:dyDescent="0.25">
      <c r="A11" s="9" t="s">
        <v>173</v>
      </c>
      <c r="B11" s="10">
        <v>29921.459999999995</v>
      </c>
    </row>
    <row r="12" spans="1:2" x14ac:dyDescent="0.25">
      <c r="A12" s="9" t="s">
        <v>174</v>
      </c>
      <c r="B12" s="10">
        <v>31949.97</v>
      </c>
    </row>
    <row r="13" spans="1:2" x14ac:dyDescent="0.25">
      <c r="A13" s="9" t="s">
        <v>175</v>
      </c>
      <c r="B13" s="10">
        <v>53033.59</v>
      </c>
    </row>
    <row r="14" spans="1:2" x14ac:dyDescent="0.25">
      <c r="A14" s="9" t="s">
        <v>176</v>
      </c>
      <c r="B14" s="10">
        <v>31773.429999999997</v>
      </c>
    </row>
    <row r="15" spans="1:2" x14ac:dyDescent="0.25">
      <c r="A15" s="9" t="s">
        <v>177</v>
      </c>
      <c r="B15" s="10">
        <v>66642.78</v>
      </c>
    </row>
    <row r="16" spans="1:2" x14ac:dyDescent="0.25">
      <c r="A16" s="9" t="s">
        <v>164</v>
      </c>
      <c r="B16" s="10">
        <v>435066.15999999992</v>
      </c>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319"/>
  <sheetViews>
    <sheetView zoomScale="92" zoomScaleNormal="80" workbookViewId="0">
      <selection activeCell="L19" sqref="L19"/>
    </sheetView>
  </sheetViews>
  <sheetFormatPr defaultRowHeight="15" x14ac:dyDescent="0.25"/>
  <cols>
    <col min="1" max="1" width="13.140625" bestFit="1" customWidth="1"/>
    <col min="2" max="2" width="17" style="10" bestFit="1" customWidth="1"/>
  </cols>
  <sheetData>
    <row r="3" spans="1:2" x14ac:dyDescent="0.25">
      <c r="A3" s="8" t="s">
        <v>163</v>
      </c>
      <c r="B3" s="10" t="s">
        <v>183</v>
      </c>
    </row>
    <row r="4" spans="1:2" x14ac:dyDescent="0.25">
      <c r="A4" s="11" t="s">
        <v>178</v>
      </c>
      <c r="B4" s="12">
        <v>218</v>
      </c>
    </row>
    <row r="5" spans="1:2" x14ac:dyDescent="0.25">
      <c r="A5" s="11" t="s">
        <v>179</v>
      </c>
      <c r="B5" s="12">
        <v>85</v>
      </c>
    </row>
    <row r="6" spans="1:2" x14ac:dyDescent="0.25">
      <c r="A6" s="11" t="s">
        <v>180</v>
      </c>
      <c r="B6" s="12">
        <v>31</v>
      </c>
    </row>
    <row r="7" spans="1:2" x14ac:dyDescent="0.25">
      <c r="A7" s="11" t="s">
        <v>181</v>
      </c>
      <c r="B7" s="12">
        <v>24</v>
      </c>
    </row>
    <row r="8" spans="1:2" x14ac:dyDescent="0.25">
      <c r="A8" s="11" t="s">
        <v>182</v>
      </c>
      <c r="B8" s="12">
        <v>8</v>
      </c>
    </row>
    <row r="9" spans="1:2" x14ac:dyDescent="0.25">
      <c r="A9" s="11" t="s">
        <v>185</v>
      </c>
      <c r="B9" s="12">
        <v>2</v>
      </c>
    </row>
    <row r="10" spans="1:2" x14ac:dyDescent="0.25">
      <c r="A10" s="11" t="s">
        <v>186</v>
      </c>
      <c r="B10" s="12">
        <v>1</v>
      </c>
    </row>
    <row r="11" spans="1:2" x14ac:dyDescent="0.25">
      <c r="A11" s="11" t="s">
        <v>164</v>
      </c>
      <c r="B11" s="12">
        <v>369</v>
      </c>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Q19"/>
  <sheetViews>
    <sheetView workbookViewId="0">
      <selection activeCell="N14" sqref="N14"/>
    </sheetView>
  </sheetViews>
  <sheetFormatPr defaultRowHeight="15" x14ac:dyDescent="0.25"/>
  <cols>
    <col min="1" max="1" width="13.140625" bestFit="1" customWidth="1"/>
    <col min="2" max="2" width="15.5703125" style="10" bestFit="1" customWidth="1"/>
  </cols>
  <sheetData>
    <row r="3" spans="1:17" x14ac:dyDescent="0.25">
      <c r="A3" s="8" t="s">
        <v>163</v>
      </c>
      <c r="B3" s="10" t="s">
        <v>165</v>
      </c>
      <c r="D3" s="15" t="s">
        <v>187</v>
      </c>
      <c r="E3" s="15" t="s">
        <v>188</v>
      </c>
    </row>
    <row r="4" spans="1:17" x14ac:dyDescent="0.25">
      <c r="A4" s="9" t="s">
        <v>43</v>
      </c>
      <c r="B4" s="10">
        <v>67180.5</v>
      </c>
      <c r="D4" s="9" t="s">
        <v>43</v>
      </c>
      <c r="E4" s="10">
        <v>67180.5</v>
      </c>
    </row>
    <row r="5" spans="1:17" x14ac:dyDescent="0.25">
      <c r="A5" s="9" t="s">
        <v>59</v>
      </c>
      <c r="B5" s="10">
        <v>50208.35</v>
      </c>
      <c r="D5" s="9" t="s">
        <v>59</v>
      </c>
      <c r="E5" s="10">
        <v>50208.35</v>
      </c>
    </row>
    <row r="6" spans="1:17" x14ac:dyDescent="0.25">
      <c r="A6" s="9" t="s">
        <v>116</v>
      </c>
      <c r="B6" s="10">
        <v>50145.330000000009</v>
      </c>
      <c r="D6" s="9" t="s">
        <v>116</v>
      </c>
      <c r="E6" s="10">
        <v>50145.330000000009</v>
      </c>
      <c r="P6" s="9"/>
      <c r="Q6" s="10"/>
    </row>
    <row r="7" spans="1:17" x14ac:dyDescent="0.25">
      <c r="A7" s="9" t="s">
        <v>93</v>
      </c>
      <c r="B7" s="10">
        <v>43713</v>
      </c>
      <c r="D7" s="9" t="s">
        <v>93</v>
      </c>
      <c r="E7" s="10">
        <v>43713</v>
      </c>
      <c r="P7" s="9"/>
      <c r="Q7" s="10"/>
    </row>
    <row r="8" spans="1:17" x14ac:dyDescent="0.25">
      <c r="A8" s="9" t="s">
        <v>100</v>
      </c>
      <c r="B8" s="10">
        <v>41095.01</v>
      </c>
      <c r="D8" s="9" t="s">
        <v>100</v>
      </c>
      <c r="E8" s="10">
        <v>41095.01</v>
      </c>
      <c r="P8" s="9"/>
      <c r="Q8" s="10"/>
    </row>
    <row r="9" spans="1:17" x14ac:dyDescent="0.25">
      <c r="A9" s="9" t="s">
        <v>85</v>
      </c>
      <c r="B9" s="10">
        <v>37428</v>
      </c>
      <c r="D9" s="9" t="s">
        <v>85</v>
      </c>
      <c r="E9" s="10">
        <v>37428</v>
      </c>
      <c r="P9" s="9"/>
      <c r="Q9" s="10"/>
    </row>
    <row r="10" spans="1:17" x14ac:dyDescent="0.25">
      <c r="A10" s="9" t="s">
        <v>121</v>
      </c>
      <c r="B10" s="10">
        <v>36839.990000000005</v>
      </c>
      <c r="D10" s="9" t="s">
        <v>121</v>
      </c>
      <c r="E10" s="10">
        <v>36839.990000000005</v>
      </c>
      <c r="P10" s="9"/>
      <c r="Q10" s="10"/>
    </row>
    <row r="11" spans="1:17" x14ac:dyDescent="0.25">
      <c r="A11" s="9" t="s">
        <v>128</v>
      </c>
      <c r="B11" s="10">
        <v>32530.6</v>
      </c>
      <c r="D11" s="9" t="s">
        <v>128</v>
      </c>
      <c r="E11" s="10">
        <v>32530.6</v>
      </c>
      <c r="P11" s="9"/>
      <c r="Q11" s="10"/>
    </row>
    <row r="12" spans="1:17" x14ac:dyDescent="0.25">
      <c r="A12" s="9" t="s">
        <v>77</v>
      </c>
      <c r="B12" s="10">
        <v>27005.38</v>
      </c>
      <c r="D12" s="9" t="s">
        <v>77</v>
      </c>
      <c r="E12" s="10">
        <v>27005.38</v>
      </c>
      <c r="P12" s="9"/>
      <c r="Q12" s="10"/>
    </row>
    <row r="13" spans="1:17" x14ac:dyDescent="0.25">
      <c r="A13" s="9" t="s">
        <v>107</v>
      </c>
      <c r="B13" s="10">
        <v>17204</v>
      </c>
      <c r="D13" s="9" t="s">
        <v>107</v>
      </c>
      <c r="E13" s="10">
        <v>17204</v>
      </c>
      <c r="P13" s="9"/>
      <c r="Q13" s="10"/>
    </row>
    <row r="14" spans="1:17" x14ac:dyDescent="0.25">
      <c r="A14" s="9" t="s">
        <v>69</v>
      </c>
      <c r="B14" s="10">
        <v>16350.5</v>
      </c>
      <c r="D14" s="9" t="s">
        <v>69</v>
      </c>
      <c r="E14" s="10">
        <v>16350.5</v>
      </c>
      <c r="P14" s="9"/>
      <c r="Q14" s="10"/>
    </row>
    <row r="15" spans="1:17" x14ac:dyDescent="0.25">
      <c r="A15" s="9" t="s">
        <v>29</v>
      </c>
      <c r="B15" s="10">
        <v>15365.5</v>
      </c>
      <c r="D15" s="9" t="s">
        <v>29</v>
      </c>
      <c r="E15" s="10">
        <v>15365.5</v>
      </c>
      <c r="P15" s="9"/>
      <c r="Q15" s="10"/>
    </row>
    <row r="16" spans="1:17" x14ac:dyDescent="0.25">
      <c r="A16" s="9" t="s">
        <v>164</v>
      </c>
      <c r="B16" s="10">
        <v>435066.16</v>
      </c>
      <c r="P16" s="9"/>
      <c r="Q16" s="10"/>
    </row>
    <row r="17" spans="2:17" x14ac:dyDescent="0.25">
      <c r="B17"/>
      <c r="P17" s="9"/>
      <c r="Q17" s="10"/>
    </row>
    <row r="18" spans="2:17" x14ac:dyDescent="0.25">
      <c r="B18"/>
    </row>
    <row r="19" spans="2:17" x14ac:dyDescent="0.25">
      <c r="B19"/>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319"/>
  <sheetViews>
    <sheetView zoomScale="102" workbookViewId="0">
      <selection activeCell="C16" sqref="C16"/>
    </sheetView>
  </sheetViews>
  <sheetFormatPr defaultRowHeight="15" x14ac:dyDescent="0.25"/>
  <cols>
    <col min="1" max="1" width="13.140625" bestFit="1" customWidth="1"/>
    <col min="2" max="2" width="15.5703125" style="10" bestFit="1" customWidth="1"/>
  </cols>
  <sheetData>
    <row r="3" spans="1:2" x14ac:dyDescent="0.25">
      <c r="A3" s="8" t="s">
        <v>163</v>
      </c>
      <c r="B3" s="10" t="s">
        <v>165</v>
      </c>
    </row>
    <row r="4" spans="1:2" x14ac:dyDescent="0.25">
      <c r="A4" s="9" t="s">
        <v>42</v>
      </c>
      <c r="B4" s="13">
        <v>67180.5</v>
      </c>
    </row>
    <row r="5" spans="1:2" x14ac:dyDescent="0.25">
      <c r="A5" s="9" t="s">
        <v>58</v>
      </c>
      <c r="B5" s="13">
        <v>50208.35</v>
      </c>
    </row>
    <row r="6" spans="1:2" x14ac:dyDescent="0.25">
      <c r="A6" s="9" t="s">
        <v>115</v>
      </c>
      <c r="B6" s="13">
        <v>50145.330000000009</v>
      </c>
    </row>
    <row r="7" spans="1:2" x14ac:dyDescent="0.25">
      <c r="A7" s="9" t="s">
        <v>92</v>
      </c>
      <c r="B7" s="13">
        <v>43713</v>
      </c>
    </row>
    <row r="8" spans="1:2" x14ac:dyDescent="0.25">
      <c r="A8" s="9" t="s">
        <v>99</v>
      </c>
      <c r="B8" s="13">
        <v>41095.01</v>
      </c>
    </row>
    <row r="9" spans="1:2" x14ac:dyDescent="0.25">
      <c r="A9" s="9" t="s">
        <v>84</v>
      </c>
      <c r="B9" s="13">
        <v>37428</v>
      </c>
    </row>
    <row r="10" spans="1:2" x14ac:dyDescent="0.25">
      <c r="A10" s="9" t="s">
        <v>164</v>
      </c>
      <c r="B10" s="13">
        <v>289770.19</v>
      </c>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sheetData>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319"/>
  <sheetViews>
    <sheetView zoomScale="102" workbookViewId="0">
      <selection activeCell="M21" sqref="M21"/>
    </sheetView>
  </sheetViews>
  <sheetFormatPr defaultRowHeight="15" x14ac:dyDescent="0.25"/>
  <cols>
    <col min="1" max="1" width="13.140625" bestFit="1" customWidth="1"/>
    <col min="2" max="2" width="15.5703125" style="10" bestFit="1" customWidth="1"/>
  </cols>
  <sheetData>
    <row r="3" spans="1:2" x14ac:dyDescent="0.25">
      <c r="A3" s="8" t="s">
        <v>163</v>
      </c>
      <c r="B3" s="10" t="s">
        <v>165</v>
      </c>
    </row>
    <row r="4" spans="1:2" x14ac:dyDescent="0.25">
      <c r="A4" s="9" t="s">
        <v>42</v>
      </c>
      <c r="B4" s="3">
        <v>67180.5</v>
      </c>
    </row>
    <row r="5" spans="1:2" x14ac:dyDescent="0.25">
      <c r="A5" s="9" t="s">
        <v>58</v>
      </c>
      <c r="B5" s="3">
        <v>50208.35</v>
      </c>
    </row>
    <row r="6" spans="1:2" x14ac:dyDescent="0.25">
      <c r="A6" s="9" t="s">
        <v>115</v>
      </c>
      <c r="B6" s="3">
        <v>50145.330000000009</v>
      </c>
    </row>
    <row r="7" spans="1:2" x14ac:dyDescent="0.25">
      <c r="A7" s="9" t="s">
        <v>92</v>
      </c>
      <c r="B7" s="3">
        <v>43713</v>
      </c>
    </row>
    <row r="8" spans="1:2" x14ac:dyDescent="0.25">
      <c r="A8" s="9" t="s">
        <v>99</v>
      </c>
      <c r="B8" s="3">
        <v>41095.01</v>
      </c>
    </row>
    <row r="9" spans="1:2" x14ac:dyDescent="0.25">
      <c r="A9" s="9" t="s">
        <v>164</v>
      </c>
      <c r="B9" s="3">
        <v>252342.19000000003</v>
      </c>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sheetData>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showGridLines="0" zoomScale="85" workbookViewId="0">
      <selection activeCell="H16" sqref="H16"/>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B1D0-CDA5-41F2-BBB0-775F3505A252}">
  <dimension ref="A1"/>
  <sheetViews>
    <sheetView showGridLines="0" zoomScale="120" zoomScaleNormal="120" workbookViewId="0">
      <selection activeCell="W18" sqref="W18"/>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zoomScale="80" zoomScaleNormal="80" workbookViewId="0">
      <selection activeCell="O17" sqref="O17"/>
    </sheetView>
  </sheetViews>
  <sheetFormatPr defaultColWidth="8.85546875" defaultRowHeight="15" x14ac:dyDescent="0.25"/>
  <cols>
    <col min="1" max="16384" width="8.85546875" style="14"/>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showGridLines="0" tabSelected="1" zoomScale="83" zoomScaleNormal="83" workbookViewId="0"/>
  </sheetViews>
  <sheetFormatPr defaultColWidth="8.85546875" defaultRowHeight="15" x14ac:dyDescent="0.25"/>
  <cols>
    <col min="1" max="16384" width="8.85546875" style="1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Task</vt:lpstr>
      <vt:lpstr>Raw Data</vt:lpstr>
      <vt:lpstr>Pre-Analysis Board</vt:lpstr>
      <vt:lpstr>Sheet2</vt:lpstr>
      <vt:lpstr>Top 10 Customers</vt:lpstr>
      <vt:lpstr>Top 10 Customers (2)</vt:lpstr>
      <vt:lpstr>Sales by Region</vt:lpstr>
      <vt:lpstr>Sales Performance by Rep</vt:lpstr>
      <vt:lpstr>Sales by product category</vt:lpstr>
      <vt:lpstr>Sales Trend report</vt:lpstr>
      <vt:lpstr>Transaction by Amount</vt:lpstr>
      <vt:lpstr>Performance by States</vt:lpstr>
      <vt:lpstr>Top 6 Ship Cities</vt:lpstr>
      <vt:lpstr>Top 5 Cities by Revenue</vt:lpstr>
      <vt:lpstr>In-Analysis Board</vt:lpstr>
      <vt:lpstr>Dashboard</vt:lpstr>
      <vt:lpstr>Post-Analysis Recommendations</vt:lpstr>
      <vt:lpstr>Post-Analysis Observations</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USEER</cp:lastModifiedBy>
  <dcterms:created xsi:type="dcterms:W3CDTF">2015-01-21T18:43:03Z</dcterms:created>
  <dcterms:modified xsi:type="dcterms:W3CDTF">2025-10-25T15:05:30Z</dcterms:modified>
</cp:coreProperties>
</file>